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50" windowHeight="12280" tabRatio="787" activeTab="2"/>
  </bookViews>
  <sheets>
    <sheet name="汇总表" sheetId="17" r:id="rId1"/>
    <sheet name="表1 测量费，注所有单体都放一张表中" sheetId="6" r:id="rId2"/>
    <sheet name="表2-1 XX勘察费，注每个单体一张表" sheetId="1" r:id="rId3"/>
    <sheet name="表3 其他费用(一次报送)" sheetId="16" r:id="rId4"/>
  </sheets>
  <definedNames>
    <definedName name="_xlnm._FilterDatabase" localSheetId="2" hidden="1">'表2-1 XX勘察费，注每个单体一张表'!$A$4:$XCU$210</definedName>
    <definedName name="_xlnm._FilterDatabase" localSheetId="1" hidden="1">'表1 测量费，注所有单体都放一张表中'!$4:$40</definedName>
    <definedName name="_xlnm.Print_Area" localSheetId="2">'表2-1 XX勘察费，注每个单体一张表'!$A$1:$AE$210</definedName>
    <definedName name="_xlnm.Print_Titles" localSheetId="2">'表2-1 XX勘察费，注每个单体一张表'!$1:$4</definedName>
    <definedName name="_xlnm.Print_Area" localSheetId="1">'表1 测量费，注所有单体都放一张表中'!$A$1:$AC$80</definedName>
    <definedName name="_xlnm.Print_Titles" localSheetId="1">'表1 测量费，注所有单体都放一张表中'!$1:$4</definedName>
    <definedName name="_xlnm.Print_Area" localSheetId="0">汇总表!$A$1:$K$26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<sst xmlns="http://schemas.openxmlformats.org/spreadsheetml/2006/main" count="1554" uniqueCount="418">
  <si>
    <r>
      <rPr>
        <b/>
        <sz val="14"/>
        <color theme="1"/>
        <rFont val="宋体"/>
        <charset val="134"/>
        <scheme val="minor"/>
      </rPr>
      <t xml:space="preserve">XX管道工程XX阶段勘察测量结算费用汇总表
</t>
    </r>
    <r>
      <rPr>
        <b/>
        <sz val="10"/>
        <color theme="1"/>
        <rFont val="宋体"/>
        <charset val="134"/>
        <scheme val="minor"/>
      </rPr>
      <t xml:space="preserve">                                                                                                                               单位：万元</t>
    </r>
  </si>
  <si>
    <t>序号</t>
  </si>
  <si>
    <t>项目名称</t>
  </si>
  <si>
    <t>承包商上报</t>
  </si>
  <si>
    <t xml:space="preserve">专业审核                      </t>
  </si>
  <si>
    <t xml:space="preserve">造价审核                </t>
  </si>
  <si>
    <t>2024版其他费用系数</t>
  </si>
  <si>
    <t>框架协议</t>
  </si>
  <si>
    <t>测量费</t>
  </si>
  <si>
    <t>勘察费</t>
  </si>
  <si>
    <t>备注</t>
  </si>
  <si>
    <t>审减额</t>
  </si>
  <si>
    <t>勘察测量</t>
  </si>
  <si>
    <t>航测</t>
  </si>
  <si>
    <t>一</t>
  </si>
  <si>
    <t>勘察测量费</t>
  </si>
  <si>
    <t>测量费用</t>
  </si>
  <si>
    <t>线路工程</t>
  </si>
  <si>
    <t>XX大中型穿越</t>
  </si>
  <si>
    <t>小计</t>
  </si>
  <si>
    <t>二</t>
  </si>
  <si>
    <t>航测费用</t>
  </si>
  <si>
    <t xml:space="preserve"> 勘察合同价格相关内容截图</t>
  </si>
  <si>
    <t>以上合计</t>
  </si>
  <si>
    <t>三</t>
  </si>
  <si>
    <t>系数调整</t>
  </si>
  <si>
    <t>四</t>
  </si>
  <si>
    <t>其他费用</t>
  </si>
  <si>
    <t>一次报送</t>
  </si>
  <si>
    <t>二次补充</t>
  </si>
  <si>
    <t>五</t>
  </si>
  <si>
    <t>结算金额</t>
  </si>
  <si>
    <t>含税</t>
  </si>
  <si>
    <t>不含税</t>
  </si>
  <si>
    <t>增值税（6%）</t>
  </si>
  <si>
    <t>附表1 测量费用测算表</t>
  </si>
  <si>
    <t>1、XX隧道</t>
  </si>
  <si>
    <t>专业审核</t>
  </si>
  <si>
    <t>造价审核</t>
  </si>
  <si>
    <t>工作任务</t>
  </si>
  <si>
    <t>实物工作费（元）</t>
  </si>
  <si>
    <t>技术工作费（元）</t>
  </si>
  <si>
    <t>金额合计（元）</t>
  </si>
  <si>
    <t>收费标准里对应条款</t>
  </si>
  <si>
    <t>系数及费用来源
说明</t>
  </si>
  <si>
    <t>工程量
增减</t>
  </si>
  <si>
    <t>审核认定数量</t>
  </si>
  <si>
    <t>实物工作系数</t>
  </si>
  <si>
    <t>审核单价</t>
  </si>
  <si>
    <t>技术工作系数</t>
  </si>
  <si>
    <t>审核总价（元）</t>
  </si>
  <si>
    <t>审减说明</t>
  </si>
  <si>
    <t>项目</t>
  </si>
  <si>
    <t>内容</t>
  </si>
  <si>
    <t>类别</t>
  </si>
  <si>
    <t>比例尺</t>
  </si>
  <si>
    <t>单位</t>
  </si>
  <si>
    <t>工程量</t>
  </si>
  <si>
    <t>基价（元）</t>
  </si>
  <si>
    <t>调整系数</t>
  </si>
  <si>
    <t>控制测量</t>
  </si>
  <si>
    <t>首级控制测量</t>
  </si>
  <si>
    <t>GPS测量D级</t>
  </si>
  <si>
    <t>复杂</t>
  </si>
  <si>
    <t>个</t>
  </si>
  <si>
    <t xml:space="preserve">
表2.2-2</t>
  </si>
  <si>
    <t>不造标0.6</t>
  </si>
  <si>
    <t>中等</t>
  </si>
  <si>
    <t>河流静态</t>
  </si>
  <si>
    <t>GPS测量E级</t>
  </si>
  <si>
    <t>点</t>
  </si>
  <si>
    <t>连片鱼塘静态</t>
  </si>
  <si>
    <t>山岭隧道静态</t>
  </si>
  <si>
    <t>山体定向钻静态</t>
  </si>
  <si>
    <t>站场静态</t>
  </si>
  <si>
    <t>阀室RTK</t>
  </si>
  <si>
    <t>简单</t>
  </si>
  <si>
    <t>渣场RTK</t>
  </si>
  <si>
    <t>公路、铁路RTK</t>
  </si>
  <si>
    <t>小型穿越RTK</t>
  </si>
  <si>
    <t>地形图测绘
（地形测量）</t>
  </si>
  <si>
    <t>山岭隧道（洞身）</t>
  </si>
  <si>
    <t>1:2000</t>
  </si>
  <si>
    <r>
      <rPr>
        <sz val="10"/>
        <rFont val="宋体"/>
        <charset val="134"/>
        <scheme val="minor"/>
      </rPr>
      <t>km</t>
    </r>
    <r>
      <rPr>
        <vertAlign val="superscript"/>
        <sz val="10"/>
        <rFont val="宋体"/>
        <charset val="134"/>
        <scheme val="minor"/>
      </rPr>
      <t>2</t>
    </r>
  </si>
  <si>
    <t>数字化测绘、植被覆盖系数0.3</t>
  </si>
  <si>
    <t>数字化测绘</t>
  </si>
  <si>
    <t>山岭隧道（洞口、渣场）</t>
  </si>
  <si>
    <t>1:500</t>
  </si>
  <si>
    <t>河流大中型穿越（陆地）</t>
  </si>
  <si>
    <t>1:1000</t>
  </si>
  <si>
    <t>河流大中型穿越（水域）</t>
  </si>
  <si>
    <t>表2.3-2</t>
  </si>
  <si>
    <t>连片鱼塘穿越</t>
  </si>
  <si>
    <t>表2.2-2</t>
  </si>
  <si>
    <t>山体定向钻</t>
  </si>
  <si>
    <t>站场（地形图）</t>
  </si>
  <si>
    <t>站场（区位图）</t>
  </si>
  <si>
    <t>阀室</t>
  </si>
  <si>
    <t>公路、铁路、小型穿越</t>
  </si>
  <si>
    <t>断面测量</t>
  </si>
  <si>
    <t>线路纵断面</t>
  </si>
  <si>
    <t>km</t>
  </si>
  <si>
    <t>植被覆盖系数0.3</t>
  </si>
  <si>
    <t>山岭隧道（洞口）</t>
  </si>
  <si>
    <t>表2.3-1</t>
  </si>
  <si>
    <t>地下
管线
测量</t>
  </si>
  <si>
    <t>地下管线测量</t>
  </si>
  <si>
    <t>/</t>
  </si>
  <si>
    <t>表2.4-1</t>
  </si>
  <si>
    <t>地下管线测量部分（预估工作量）</t>
  </si>
  <si>
    <t>盲探管线</t>
  </si>
  <si>
    <r>
      <rPr>
        <sz val="10"/>
        <rFont val="宋体"/>
        <charset val="134"/>
        <scheme val="minor"/>
      </rPr>
      <t>m</t>
    </r>
    <r>
      <rPr>
        <vertAlign val="superscript"/>
        <sz val="9"/>
        <rFont val="宋体"/>
        <charset val="134"/>
        <scheme val="minor"/>
      </rPr>
      <t>2</t>
    </r>
  </si>
  <si>
    <t>表7.2-1</t>
  </si>
  <si>
    <t>地下管线探测部分，（预估工作量）</t>
  </si>
  <si>
    <t>金属管线探查</t>
  </si>
  <si>
    <t>合    计</t>
  </si>
  <si>
    <t>合计</t>
  </si>
  <si>
    <t>2、XX站场(阀室)</t>
  </si>
  <si>
    <t>审核
认定数量</t>
  </si>
  <si>
    <t>实物工作
系数</t>
  </si>
  <si>
    <t>技术工作
系数</t>
  </si>
  <si>
    <t>测量费用共计</t>
  </si>
  <si>
    <t>附表2 勘察费用测算表</t>
  </si>
  <si>
    <t>工程名称：XX隧道</t>
  </si>
  <si>
    <t>注：勘察费用测量表按照单体编制，每个单体一张表</t>
  </si>
  <si>
    <t>金额合计</t>
  </si>
  <si>
    <t>级别</t>
  </si>
  <si>
    <t>系数</t>
  </si>
  <si>
    <t>（元）</t>
  </si>
  <si>
    <t>基价</t>
  </si>
  <si>
    <t>工程测量</t>
  </si>
  <si>
    <t>定点测量</t>
  </si>
  <si>
    <t>组日</t>
  </si>
  <si>
    <t>甲级</t>
  </si>
  <si>
    <t>表2.2-3</t>
  </si>
  <si>
    <t>岩土
工程
勘察（工程地质测绘）</t>
  </si>
  <si>
    <t>工程地质测绘</t>
  </si>
  <si>
    <t>成图比例</t>
  </si>
  <si>
    <t>表3.2-1、表3.2-2</t>
  </si>
  <si>
    <t>1:10000</t>
  </si>
  <si>
    <t>表3.2-1、表3.2-3</t>
  </si>
  <si>
    <t>表3.2-1、表3.2-4</t>
  </si>
  <si>
    <t>1:50000</t>
  </si>
  <si>
    <t>岩土
工程
勘察（勘探实物）</t>
  </si>
  <si>
    <t>钻探</t>
  </si>
  <si>
    <t>陆域</t>
  </si>
  <si>
    <t>D≤10</t>
  </si>
  <si>
    <t>Ⅲ</t>
  </si>
  <si>
    <t>m</t>
  </si>
  <si>
    <t>表3.3-2、表3.3-5</t>
  </si>
  <si>
    <t>Ⅳ</t>
  </si>
  <si>
    <t>10＜D≤20</t>
  </si>
  <si>
    <t>20＜D≤30</t>
  </si>
  <si>
    <t>Ⅴ</t>
  </si>
  <si>
    <t>30＜D≤40</t>
  </si>
  <si>
    <t>40＜D≤50</t>
  </si>
  <si>
    <t>50＜D≤60</t>
  </si>
  <si>
    <t>60＜D≤80</t>
  </si>
  <si>
    <t>Ⅵ</t>
  </si>
  <si>
    <t>80＜D≤100</t>
  </si>
  <si>
    <t>100＜D≤120</t>
  </si>
  <si>
    <t>120＜D≤140</t>
  </si>
  <si>
    <t>140＜D≤160</t>
  </si>
  <si>
    <t>160＜D≤180</t>
  </si>
  <si>
    <t>180＜D≤200</t>
  </si>
  <si>
    <t>200＜D≤220</t>
  </si>
  <si>
    <t>220＜D≤240</t>
  </si>
  <si>
    <t>240＜D≤260</t>
  </si>
  <si>
    <t>260＜D≤280</t>
  </si>
  <si>
    <t>280＜D≤300</t>
  </si>
  <si>
    <t>300＜D≤320</t>
  </si>
  <si>
    <t>320＜D≤340</t>
  </si>
  <si>
    <t>340＜D≤360</t>
  </si>
  <si>
    <t>360＜D≤380</t>
  </si>
  <si>
    <t>380＜D≤400</t>
  </si>
  <si>
    <t>400＜D≤420</t>
  </si>
  <si>
    <t>水域</t>
  </si>
  <si>
    <t>Ⅰ</t>
  </si>
  <si>
    <t>探井</t>
  </si>
  <si>
    <t>D≤2</t>
  </si>
  <si>
    <t>Ⅱ</t>
  </si>
  <si>
    <t>2＜D≤5</t>
  </si>
  <si>
    <t>5＜D≤10</t>
  </si>
  <si>
    <t>探槽</t>
  </si>
  <si>
    <t>   D≤2</t>
  </si>
  <si>
    <r>
      <rPr>
        <sz val="10"/>
        <rFont val="宋体"/>
        <charset val="134"/>
        <scheme val="minor"/>
      </rPr>
      <t>m</t>
    </r>
    <r>
      <rPr>
        <vertAlign val="superscript"/>
        <sz val="10"/>
        <rFont val="宋体"/>
        <charset val="134"/>
        <scheme val="minor"/>
      </rPr>
      <t>3</t>
    </r>
  </si>
  <si>
    <t>   D＞2</t>
  </si>
  <si>
    <t>岩土
工程
勘察（取土水石试样）</t>
  </si>
  <si>
    <t>取样</t>
  </si>
  <si>
    <t>钻孔取土样</t>
  </si>
  <si>
    <t>≤30m</t>
  </si>
  <si>
    <t>件</t>
  </si>
  <si>
    <t>表3.3-3、表3.3-5</t>
  </si>
  <si>
    <t>探井取土样</t>
  </si>
  <si>
    <t>取扰动样</t>
  </si>
  <si>
    <t>岩芯取石样</t>
  </si>
  <si>
    <t>水样</t>
  </si>
  <si>
    <t>岩土
工程
勘察（原位测试）</t>
  </si>
  <si>
    <t>标准贯入试验</t>
  </si>
  <si>
    <t>D≤20</t>
  </si>
  <si>
    <t>次</t>
  </si>
  <si>
    <t>表3.3-4、表3.3-5</t>
  </si>
  <si>
    <t>20＜D≤50</t>
  </si>
  <si>
    <t>D＞50</t>
  </si>
  <si>
    <t>动力触探</t>
  </si>
  <si>
    <t>重型</t>
  </si>
  <si>
    <t>静力触探</t>
  </si>
  <si>
    <t>双桥</t>
  </si>
  <si>
    <t>地应力测试</t>
  </si>
  <si>
    <t>压水致裂</t>
  </si>
  <si>
    <t>孔壁应变法</t>
  </si>
  <si>
    <t>孔</t>
  </si>
  <si>
    <t>压注水试验</t>
  </si>
  <si>
    <t>压水</t>
  </si>
  <si>
    <t>段次</t>
  </si>
  <si>
    <t>D＞20</t>
  </si>
  <si>
    <t>注水</t>
  </si>
  <si>
    <t>钻孔注水</t>
  </si>
  <si>
    <t>探井注水</t>
  </si>
  <si>
    <t>水文
地质
勘察</t>
  </si>
  <si>
    <t>抽水试验</t>
  </si>
  <si>
    <t>利用钻孔抽水</t>
  </si>
  <si>
    <t>台班</t>
  </si>
  <si>
    <t>表5.5-1</t>
  </si>
  <si>
    <t>地下水位（温）观测</t>
  </si>
  <si>
    <t>试验观测孔</t>
  </si>
  <si>
    <t>动态观测距离L
（km）</t>
  </si>
  <si>
    <t>L≤5</t>
  </si>
  <si>
    <t>5＜L≤10</t>
  </si>
  <si>
    <t>L＞10</t>
  </si>
  <si>
    <t>工程
水文</t>
  </si>
  <si>
    <t>设计洪水</t>
  </si>
  <si>
    <t>设计洪水位</t>
  </si>
  <si>
    <t>河流设计洪水</t>
  </si>
  <si>
    <t xml:space="preserve">设计断面 </t>
  </si>
  <si>
    <t>水文气象</t>
  </si>
  <si>
    <t>表6.2-2</t>
  </si>
  <si>
    <t>河流冲刷</t>
  </si>
  <si>
    <t>工程泥沙</t>
  </si>
  <si>
    <t>河床冲刷</t>
  </si>
  <si>
    <t>工程点</t>
  </si>
  <si>
    <t>工程物探</t>
  </si>
  <si>
    <t>浅层地震
反射或折射</t>
  </si>
  <si>
    <t>敲击</t>
  </si>
  <si>
    <t>检波点·炮</t>
  </si>
  <si>
    <t>物探</t>
  </si>
  <si>
    <t> 表7.2-1</t>
  </si>
  <si>
    <t>爆炸</t>
  </si>
  <si>
    <t>陆地</t>
  </si>
  <si>
    <t>水面
布点</t>
  </si>
  <si>
    <t>顺流</t>
  </si>
  <si>
    <t>横穿</t>
  </si>
  <si>
    <t>水底
布点</t>
  </si>
  <si>
    <t>面波勘探</t>
  </si>
  <si>
    <t>探
测
深
度
D(m)</t>
  </si>
  <si>
    <t>30＜D≤50</t>
  </si>
  <si>
    <t>高密度电法</t>
  </si>
  <si>
    <t>电极距L（m）</t>
  </si>
  <si>
    <t>L≤100</t>
  </si>
  <si>
    <t>四级法</t>
  </si>
  <si>
    <t>100＜L≤200</t>
  </si>
  <si>
    <t>200＜L≤400</t>
  </si>
  <si>
    <t>400＜L≤600</t>
  </si>
  <si>
    <t>声频大地、
甚低频电磁法</t>
  </si>
  <si>
    <t>测点距L (m)</t>
  </si>
  <si>
    <t>L＜10</t>
  </si>
  <si>
    <t>10＜L≤20</t>
  </si>
  <si>
    <t>20＜L≤50</t>
  </si>
  <si>
    <t>L＞50</t>
  </si>
  <si>
    <t>大地电磁法</t>
  </si>
  <si>
    <t>深度
D(m)</t>
  </si>
  <si>
    <t>D≤3000</t>
  </si>
  <si>
    <t>D＞3000</t>
  </si>
  <si>
    <t>层析成像（CT）</t>
  </si>
  <si>
    <t>弹性波</t>
  </si>
  <si>
    <t>电磁波</t>
  </si>
  <si>
    <t>射线对</t>
  </si>
  <si>
    <t>地质
雷达</t>
  </si>
  <si>
    <t>工作方式</t>
  </si>
  <si>
    <t>点测</t>
  </si>
  <si>
    <t>连续</t>
  </si>
  <si>
    <t>Km</t>
  </si>
  <si>
    <t>瞬变
电磁</t>
  </si>
  <si>
    <t>外
框
边
长
（m）</t>
  </si>
  <si>
    <t>测点</t>
  </si>
  <si>
    <t>微重力
勘探</t>
  </si>
  <si>
    <t>点距L(m)</t>
  </si>
  <si>
    <t>5＜L≤20</t>
  </si>
  <si>
    <t>地下管线探测</t>
  </si>
  <si>
    <t>电缆（电力、通讯等）</t>
  </si>
  <si>
    <t>金属管道</t>
  </si>
  <si>
    <t>非金属管道</t>
  </si>
  <si>
    <t>下水道（有窨井）</t>
  </si>
  <si>
    <r>
      <rPr>
        <sz val="10"/>
        <rFont val="宋体"/>
        <charset val="134"/>
        <scheme val="minor"/>
      </rPr>
      <t>m</t>
    </r>
    <r>
      <rPr>
        <vertAlign val="superscript"/>
        <sz val="10"/>
        <rFont val="宋体"/>
        <charset val="134"/>
        <scheme val="minor"/>
      </rPr>
      <t>2</t>
    </r>
  </si>
  <si>
    <t>测井</t>
  </si>
  <si>
    <t>孔内摄影</t>
  </si>
  <si>
    <t>电测井</t>
  </si>
  <si>
    <t>电阻率测试</t>
  </si>
  <si>
    <t>电测深</t>
  </si>
  <si>
    <t>钻孔波速测试</t>
  </si>
  <si>
    <t>深度D(m)</t>
  </si>
  <si>
    <t>D≤15</t>
  </si>
  <si>
    <t>单孔</t>
  </si>
  <si>
    <t>15＜D≤30</t>
  </si>
  <si>
    <t> 表7.2-2</t>
  </si>
  <si>
    <t>50＜D≤70</t>
  </si>
  <si>
    <t>70＜D≤90</t>
  </si>
  <si>
    <t>90＜D≤110</t>
  </si>
  <si>
    <t>110＜D≤130</t>
  </si>
  <si>
    <t>130＜D≤150</t>
  </si>
  <si>
    <t>150＜D≤170</t>
  </si>
  <si>
    <t>170＜D≤190</t>
  </si>
  <si>
    <t>190＜D≤210</t>
  </si>
  <si>
    <t>210＜D≤230</t>
  </si>
  <si>
    <t>230＜D≤250</t>
  </si>
  <si>
    <t>250＜D≤270</t>
  </si>
  <si>
    <t>270＜D≤290</t>
  </si>
  <si>
    <t>290＜D≤310</t>
  </si>
  <si>
    <t>310＜D≤330</t>
  </si>
  <si>
    <t>330＜D≤350</t>
  </si>
  <si>
    <t>350＜D≤370</t>
  </si>
  <si>
    <t>370＜D≤390</t>
  </si>
  <si>
    <t>390＜D≤410</t>
  </si>
  <si>
    <t>场地微振动</t>
  </si>
  <si>
    <t>地面</t>
  </si>
  <si>
    <t>室内
试验</t>
  </si>
  <si>
    <t>土工试验</t>
  </si>
  <si>
    <t>含水率</t>
  </si>
  <si>
    <t>试验</t>
  </si>
  <si>
    <t> 表8.2-1</t>
  </si>
  <si>
    <t>密度</t>
  </si>
  <si>
    <t>环刀法</t>
  </si>
  <si>
    <t>比重</t>
  </si>
  <si>
    <t>颗粒分析</t>
  </si>
  <si>
    <t>筛析法（沙、砾）</t>
  </si>
  <si>
    <t>筛析法（含粘性土）</t>
  </si>
  <si>
    <t>液限</t>
  </si>
  <si>
    <t>碟式仪法</t>
  </si>
  <si>
    <t>圆锥仪法</t>
  </si>
  <si>
    <t>塑限</t>
  </si>
  <si>
    <t>击实</t>
  </si>
  <si>
    <t>轻型击实法</t>
  </si>
  <si>
    <t>重型击实法</t>
  </si>
  <si>
    <t>渗透</t>
  </si>
  <si>
    <t>粘土、粉土类</t>
  </si>
  <si>
    <t>砂土类</t>
  </si>
  <si>
    <t>标准固结</t>
  </si>
  <si>
    <t>快速法</t>
  </si>
  <si>
    <t>慢速法</t>
  </si>
  <si>
    <t>压缩</t>
  </si>
  <si>
    <t>四级</t>
  </si>
  <si>
    <t>三轴压缩</t>
  </si>
  <si>
    <t>不固结不排水</t>
  </si>
  <si>
    <t>组</t>
  </si>
  <si>
    <t>固结不排水</t>
  </si>
  <si>
    <t>固结不排水测孔压</t>
  </si>
  <si>
    <t>固结排水</t>
  </si>
  <si>
    <t>直接剪切</t>
  </si>
  <si>
    <t>快剪</t>
  </si>
  <si>
    <t>固结快剪</t>
  </si>
  <si>
    <t>固结慢剪</t>
  </si>
  <si>
    <t>黄土
湿陷性</t>
  </si>
  <si>
    <t>湿陷系数</t>
  </si>
  <si>
    <t>自重</t>
  </si>
  <si>
    <t>自重起始压力</t>
  </si>
  <si>
    <t>单线法</t>
  </si>
  <si>
    <t>5环刀</t>
  </si>
  <si>
    <t>双线法</t>
  </si>
  <si>
    <t>2环刀</t>
  </si>
  <si>
    <t>膨胀试验</t>
  </si>
  <si>
    <t>自由膨胀率</t>
  </si>
  <si>
    <t>膨胀率</t>
  </si>
  <si>
    <t>膨胀力</t>
  </si>
  <si>
    <t>收缩系数</t>
  </si>
  <si>
    <t>土腐蚀试验</t>
  </si>
  <si>
    <t> 表8.3-1</t>
  </si>
  <si>
    <t>水质简分析</t>
  </si>
  <si>
    <t>室内试验</t>
  </si>
  <si>
    <t>项</t>
  </si>
  <si>
    <t>岩石试验</t>
  </si>
  <si>
    <t>岩石加工</t>
  </si>
  <si>
    <t>Φ50～70岩芯</t>
  </si>
  <si>
    <t>块</t>
  </si>
  <si>
    <t> 表8.4-1</t>
  </si>
  <si>
    <t>块体密度</t>
  </si>
  <si>
    <t>蜡封法</t>
  </si>
  <si>
    <t>单轴抗压强度</t>
  </si>
  <si>
    <t>天然</t>
  </si>
  <si>
    <t>3块</t>
  </si>
  <si>
    <t>饱和</t>
  </si>
  <si>
    <t>直剪</t>
  </si>
  <si>
    <t>岩块</t>
  </si>
  <si>
    <t>5块</t>
  </si>
  <si>
    <t>结构面</t>
  </si>
  <si>
    <t>点荷载强度</t>
  </si>
  <si>
    <t>薄片鉴定</t>
  </si>
  <si>
    <t>附表3 工程勘察其他费用统计     单位：元</t>
  </si>
  <si>
    <t>单体名称</t>
  </si>
  <si>
    <t>造价管理中心审核</t>
  </si>
  <si>
    <t>办理工程勘察相关许可</t>
  </si>
  <si>
    <t>购买有关资料</t>
  </si>
  <si>
    <t>拆除障碍物，开挖以及修复地下管线</t>
  </si>
  <si>
    <t>修通至作业现场道路，接通电源、水源以及平整场地</t>
  </si>
  <si>
    <t>勘察材料以及加工、封孔费</t>
  </si>
  <si>
    <t>水上作业用船、排、平台以及水监</t>
  </si>
  <si>
    <t>勘察作业大型机具搬运</t>
  </si>
  <si>
    <t>青苗、树木以及水域养殖物赔偿等</t>
  </si>
  <si>
    <t>其他</t>
  </si>
  <si>
    <t>费用文件编号</t>
  </si>
  <si>
    <t>审减理由</t>
  </si>
  <si>
    <t>五岭隧道</t>
  </si>
  <si>
    <t>附件001-1~附件001-9</t>
  </si>
  <si>
    <t>其他费用为**、**费用</t>
  </si>
  <si>
    <t>桃坞隧道</t>
  </si>
  <si>
    <t>附件002-1~附件002-8</t>
  </si>
  <si>
    <t>石塔头隧道</t>
  </si>
  <si>
    <t>附件003-1~附件003-3</t>
  </si>
  <si>
    <t>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</si>
</sst>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);\(0.00\)"/>
    <numFmt numFmtId="178" formatCode="0.00_ "/>
    <numFmt numFmtId="179" formatCode="0.00_);[Red]\(0.00\)"/>
    <numFmt numFmtId="180" formatCode="0_);[Red]\(0\)"/>
  </numFmts>
  <fonts count="39">
    <font>
      <sz val="11"/>
      <color theme="1"/>
      <name val="宋体"/>
      <charset val="134"/>
      <scheme val="minor"/>
    </font>
    <font>
      <b/>
      <sz val="14"/>
      <name val="仿宋_GB2312"/>
      <charset val="134"/>
    </font>
    <font>
      <sz val="10"/>
      <name val="宋体"/>
      <charset val="134"/>
      <scheme val="minor"/>
    </font>
    <font>
      <sz val="12"/>
      <name val="仿宋_GB2312"/>
      <charset val="134"/>
    </font>
    <font>
      <sz val="1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rgb="FFFF0000"/>
      <name val="仿宋_GB2312"/>
      <charset val="134"/>
    </font>
    <font>
      <sz val="14"/>
      <name val="仿宋_GB2312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</font>
    <font>
      <sz val="9"/>
      <name val="宋体"/>
      <charset val="134"/>
      <scheme val="minor"/>
    </font>
    <font>
      <b/>
      <sz val="9"/>
      <name val="宋体"/>
      <charset val="134"/>
      <scheme val="minor"/>
    </font>
    <font>
      <sz val="9"/>
      <color rgb="FF000000"/>
      <name val="宋体"/>
      <charset val="134"/>
    </font>
    <font>
      <b/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9"/>
      <name val="宋体"/>
      <charset val="134"/>
      <scheme val="minor"/>
    </font>
    <font>
      <vertAlign val="superscript"/>
      <sz val="1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6" borderId="14" applyNumberFormat="0" applyAlignment="0" applyProtection="0">
      <alignment vertical="center"/>
    </xf>
    <xf numFmtId="0" fontId="28" fillId="6" borderId="13" applyNumberFormat="0" applyAlignment="0" applyProtection="0">
      <alignment vertical="center"/>
    </xf>
    <xf numFmtId="0" fontId="29" fillId="7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94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176" fontId="1" fillId="0" borderId="0" xfId="0" applyNumberFormat="1" applyFont="1" applyFill="1" applyAlignment="1">
      <alignment horizontal="center"/>
    </xf>
    <xf numFmtId="176" fontId="0" fillId="0" borderId="1" xfId="0" applyNumberFormat="1" applyBorder="1" applyAlignment="1">
      <alignment horizontal="center" vertical="center"/>
    </xf>
    <xf numFmtId="176" fontId="2" fillId="0" borderId="1" xfId="5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/>
    </xf>
    <xf numFmtId="176" fontId="2" fillId="0" borderId="3" xfId="50" applyNumberFormat="1" applyFont="1" applyFill="1" applyBorder="1" applyAlignment="1">
      <alignment horizontal="center" vertical="center" wrapText="1"/>
    </xf>
    <xf numFmtId="176" fontId="2" fillId="0" borderId="1" xfId="50" applyNumberFormat="1" applyFont="1" applyFill="1" applyBorder="1" applyAlignment="1">
      <alignment vertical="center"/>
    </xf>
    <xf numFmtId="176" fontId="4" fillId="0" borderId="1" xfId="50" applyNumberFormat="1" applyFont="1" applyFill="1" applyBorder="1" applyAlignment="1">
      <alignment horizontal="center" vertical="center"/>
    </xf>
    <xf numFmtId="176" fontId="4" fillId="0" borderId="1" xfId="50" applyNumberFormat="1" applyFont="1" applyFill="1" applyBorder="1" applyAlignment="1">
      <alignment vertical="center"/>
    </xf>
    <xf numFmtId="176" fontId="1" fillId="0" borderId="0" xfId="0" applyNumberFormat="1" applyFont="1" applyFill="1" applyAlignment="1"/>
    <xf numFmtId="176" fontId="3" fillId="0" borderId="3" xfId="0" applyNumberFormat="1" applyFont="1" applyFill="1" applyBorder="1" applyAlignment="1">
      <alignment horizontal="center"/>
    </xf>
    <xf numFmtId="176" fontId="3" fillId="2" borderId="1" xfId="0" applyNumberFormat="1" applyFont="1" applyFill="1" applyBorder="1" applyAlignment="1">
      <alignment horizont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2" borderId="1" xfId="5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vertical="center"/>
    </xf>
    <xf numFmtId="176" fontId="2" fillId="2" borderId="1" xfId="50" applyNumberFormat="1" applyFont="1" applyFill="1" applyBorder="1" applyAlignment="1">
      <alignment vertical="center"/>
    </xf>
    <xf numFmtId="176" fontId="0" fillId="0" borderId="1" xfId="0" applyNumberFormat="1" applyBorder="1">
      <alignment vertical="center"/>
    </xf>
    <xf numFmtId="176" fontId="4" fillId="2" borderId="1" xfId="50" applyNumberFormat="1" applyFont="1" applyFill="1" applyBorder="1" applyAlignment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vertical="center"/>
    </xf>
    <xf numFmtId="176" fontId="0" fillId="2" borderId="1" xfId="0" applyNumberFormat="1" applyFill="1" applyBorder="1" applyAlignment="1">
      <alignment horizontal="center" vertical="center"/>
    </xf>
    <xf numFmtId="176" fontId="0" fillId="2" borderId="1" xfId="0" applyNumberFormat="1" applyFill="1" applyBorder="1">
      <alignment vertical="center"/>
    </xf>
    <xf numFmtId="0" fontId="5" fillId="0" borderId="0" xfId="0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right" vertical="center"/>
    </xf>
    <xf numFmtId="178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right" vertical="center"/>
    </xf>
    <xf numFmtId="0" fontId="0" fillId="0" borderId="0" xfId="0" applyFont="1" applyFill="1" applyAlignment="1">
      <alignment vertical="center" wrapText="1"/>
    </xf>
    <xf numFmtId="0" fontId="0" fillId="2" borderId="0" xfId="0" applyFont="1" applyFill="1" applyAlignment="1">
      <alignment horizontal="center" vertical="center"/>
    </xf>
    <xf numFmtId="176" fontId="0" fillId="2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/>
    </xf>
    <xf numFmtId="179" fontId="2" fillId="0" borderId="5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180" fontId="2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178" fontId="9" fillId="0" borderId="1" xfId="0" applyNumberFormat="1" applyFont="1" applyFill="1" applyBorder="1" applyAlignment="1">
      <alignment horizontal="right" vertical="center" wrapText="1"/>
    </xf>
    <xf numFmtId="178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right" vertical="center" wrapText="1"/>
    </xf>
    <xf numFmtId="179" fontId="9" fillId="0" borderId="1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177" fontId="9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right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right" vertical="center" wrapText="1"/>
    </xf>
    <xf numFmtId="179" fontId="2" fillId="0" borderId="1" xfId="0" applyNumberFormat="1" applyFont="1" applyFill="1" applyBorder="1" applyAlignment="1">
      <alignment horizontal="right" vertical="center" wrapText="1"/>
    </xf>
    <xf numFmtId="176" fontId="2" fillId="0" borderId="5" xfId="0" applyNumberFormat="1" applyFont="1" applyFill="1" applyBorder="1" applyAlignment="1">
      <alignment horizontal="center" vertical="center" wrapText="1"/>
    </xf>
    <xf numFmtId="179" fontId="12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 vertical="center"/>
    </xf>
    <xf numFmtId="0" fontId="13" fillId="0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176" fontId="0" fillId="2" borderId="1" xfId="0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 wrapText="1"/>
    </xf>
    <xf numFmtId="176" fontId="11" fillId="2" borderId="1" xfId="49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vertical="center" wrapText="1" shrinkToFit="1"/>
    </xf>
    <xf numFmtId="0" fontId="0" fillId="0" borderId="7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11" fillId="0" borderId="1" xfId="49" applyFont="1" applyFill="1" applyBorder="1" applyAlignment="1">
      <alignment horizontal="center" vertical="center" wrapText="1"/>
    </xf>
    <xf numFmtId="176" fontId="11" fillId="0" borderId="1" xfId="49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9" fontId="11" fillId="0" borderId="1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176" fontId="6" fillId="0" borderId="8" xfId="0" applyNumberFormat="1" applyFont="1" applyFill="1" applyBorder="1" applyAlignment="1">
      <alignment horizontal="right" vertical="center"/>
    </xf>
    <xf numFmtId="178" fontId="6" fillId="0" borderId="8" xfId="0" applyNumberFormat="1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right" vertical="center"/>
    </xf>
    <xf numFmtId="0" fontId="12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179" fontId="0" fillId="0" borderId="0" xfId="0" applyNumberFormat="1" applyFont="1" applyFill="1" applyAlignment="1">
      <alignment horizontal="center" vertical="center"/>
    </xf>
    <xf numFmtId="0" fontId="1" fillId="0" borderId="9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vertical="center"/>
    </xf>
    <xf numFmtId="179" fontId="9" fillId="0" borderId="1" xfId="0" applyNumberFormat="1" applyFont="1" applyFill="1" applyBorder="1" applyAlignment="1">
      <alignment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1" fillId="2" borderId="5" xfId="49" applyFont="1" applyFill="1" applyBorder="1" applyAlignment="1">
      <alignment horizontal="center" vertical="center" wrapText="1"/>
    </xf>
    <xf numFmtId="0" fontId="11" fillId="2" borderId="8" xfId="49" applyFont="1" applyFill="1" applyBorder="1" applyAlignment="1">
      <alignment horizontal="center" vertical="center" wrapText="1"/>
    </xf>
    <xf numFmtId="180" fontId="6" fillId="0" borderId="1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vertical="center" wrapText="1" shrinkToFit="1"/>
    </xf>
    <xf numFmtId="0" fontId="6" fillId="0" borderId="7" xfId="0" applyFont="1" applyFill="1" applyBorder="1" applyAlignment="1">
      <alignment vertical="center" wrapText="1"/>
    </xf>
    <xf numFmtId="180" fontId="6" fillId="0" borderId="8" xfId="0" applyNumberFormat="1" applyFont="1" applyFill="1" applyBorder="1" applyAlignment="1">
      <alignment horizontal="center" vertical="center"/>
    </xf>
    <xf numFmtId="179" fontId="6" fillId="0" borderId="8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11" fillId="0" borderId="5" xfId="49" applyFont="1" applyFill="1" applyBorder="1" applyAlignment="1">
      <alignment horizontal="center" vertical="center" wrapText="1"/>
    </xf>
    <xf numFmtId="0" fontId="11" fillId="0" borderId="8" xfId="49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6" fontId="6" fillId="2" borderId="8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76" fontId="6" fillId="0" borderId="8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180" fontId="2" fillId="0" borderId="8" xfId="0" applyNumberFormat="1" applyFont="1" applyFill="1" applyBorder="1" applyAlignment="1">
      <alignment horizontal="center" vertical="center"/>
    </xf>
    <xf numFmtId="179" fontId="2" fillId="0" borderId="8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vertical="center" wrapText="1"/>
    </xf>
    <xf numFmtId="176" fontId="4" fillId="2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0" fillId="0" borderId="0" xfId="0" applyFill="1" applyAlignment="1"/>
    <xf numFmtId="0" fontId="15" fillId="0" borderId="0" xfId="0" applyFont="1" applyFill="1" applyAlignment="1">
      <alignment horizontal="center" wrapText="1"/>
    </xf>
    <xf numFmtId="0" fontId="16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49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1" fillId="3" borderId="1" xfId="49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180" fontId="6" fillId="0" borderId="1" xfId="0" applyNumberFormat="1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180" fontId="16" fillId="0" borderId="1" xfId="0" applyNumberFormat="1" applyFont="1" applyFill="1" applyBorder="1" applyAlignment="1">
      <alignment horizontal="center"/>
    </xf>
    <xf numFmtId="180" fontId="1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9" fontId="6" fillId="0" borderId="1" xfId="0" applyNumberFormat="1" applyFont="1" applyFill="1" applyBorder="1" applyAlignment="1">
      <alignment horizontal="left"/>
    </xf>
    <xf numFmtId="180" fontId="6" fillId="0" borderId="4" xfId="0" applyNumberFormat="1" applyFont="1" applyFill="1" applyBorder="1" applyAlignment="1">
      <alignment horizontal="center"/>
    </xf>
    <xf numFmtId="180" fontId="6" fillId="0" borderId="3" xfId="0" applyNumberFormat="1" applyFont="1" applyFill="1" applyBorder="1" applyAlignment="1">
      <alignment horizontal="center"/>
    </xf>
    <xf numFmtId="180" fontId="6" fillId="0" borderId="1" xfId="0" applyNumberFormat="1" applyFont="1" applyFill="1" applyBorder="1" applyAlignment="1"/>
    <xf numFmtId="180" fontId="16" fillId="0" borderId="4" xfId="0" applyNumberFormat="1" applyFont="1" applyFill="1" applyBorder="1" applyAlignment="1">
      <alignment horizontal="center"/>
    </xf>
    <xf numFmtId="180" fontId="16" fillId="0" borderId="3" xfId="0" applyNumberFormat="1" applyFont="1" applyFill="1" applyBorder="1" applyAlignment="1">
      <alignment horizontal="center"/>
    </xf>
    <xf numFmtId="180" fontId="16" fillId="0" borderId="1" xfId="0" applyNumberFormat="1" applyFont="1" applyFill="1" applyBorder="1" applyAlignment="1"/>
    <xf numFmtId="180" fontId="6" fillId="0" borderId="1" xfId="0" applyNumberFormat="1" applyFont="1" applyFill="1" applyBorder="1" applyAlignment="1">
      <alignment horizontal="left"/>
    </xf>
    <xf numFmtId="0" fontId="0" fillId="0" borderId="0" xfId="0" applyFont="1" applyFill="1" applyAlignment="1"/>
    <xf numFmtId="0" fontId="0" fillId="0" borderId="1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3" applyNumberFormat="1" applyFill="1" applyBorder="1" applyAlignment="1">
      <alignment horizontal="center" vertic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176" fontId="2" fillId="0" borderId="1" xfId="50" applyNumberFormat="1" applyFont="1" applyFill="1" applyBorder="1" applyAlignment="1" quotePrefix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" xfId="50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793750</xdr:colOff>
      <xdr:row>14</xdr:row>
      <xdr:rowOff>67945</xdr:rowOff>
    </xdr:from>
    <xdr:to>
      <xdr:col>15</xdr:col>
      <xdr:colOff>612140</xdr:colOff>
      <xdr:row>20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0807700" y="2995295"/>
          <a:ext cx="3425190" cy="1227455"/>
        </a:xfrm>
        <a:prstGeom prst="rect">
          <a:avLst/>
        </a:prstGeom>
      </xdr:spPr>
    </xdr:pic>
    <xdr:clientData/>
  </xdr:twoCellAnchor>
  <xdr:twoCellAnchor editAs="oneCell">
    <xdr:from>
      <xdr:col>11</xdr:col>
      <xdr:colOff>814070</xdr:colOff>
      <xdr:row>19</xdr:row>
      <xdr:rowOff>154940</xdr:rowOff>
    </xdr:from>
    <xdr:to>
      <xdr:col>15</xdr:col>
      <xdr:colOff>556895</xdr:colOff>
      <xdr:row>33</xdr:row>
      <xdr:rowOff>109855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0828020" y="4123690"/>
          <a:ext cx="3349625" cy="2444115"/>
        </a:xfrm>
        <a:prstGeom prst="rect">
          <a:avLst/>
        </a:prstGeom>
      </xdr:spPr>
    </xdr:pic>
    <xdr:clientData/>
  </xdr:twoCellAnchor>
  <xdr:twoCellAnchor editAs="oneCell">
    <xdr:from>
      <xdr:col>11</xdr:col>
      <xdr:colOff>812800</xdr:colOff>
      <xdr:row>4</xdr:row>
      <xdr:rowOff>120650</xdr:rowOff>
    </xdr:from>
    <xdr:to>
      <xdr:col>19</xdr:col>
      <xdr:colOff>330200</xdr:colOff>
      <xdr:row>12</xdr:row>
      <xdr:rowOff>127000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826750" y="1270000"/>
          <a:ext cx="5867400" cy="1428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view="pageBreakPreview" zoomScaleNormal="100" workbookViewId="0">
      <selection activeCell="D8" sqref="D8"/>
    </sheetView>
  </sheetViews>
  <sheetFormatPr defaultColWidth="9.81818181818182" defaultRowHeight="14"/>
  <cols>
    <col min="1" max="1" width="9.81818181818182" style="159"/>
    <col min="2" max="2" width="21.0909090909091" style="159" customWidth="1"/>
    <col min="3" max="3" width="14.6363636363636" style="159" customWidth="1"/>
    <col min="4" max="4" width="12.0909090909091" style="159" customWidth="1"/>
    <col min="5" max="5" width="13.1818181818182" style="159" customWidth="1"/>
    <col min="6" max="11" width="12.0909090909091" style="159" customWidth="1"/>
    <col min="12" max="13" width="16" style="159" customWidth="1"/>
    <col min="14" max="16384" width="9.81818181818182" style="159"/>
  </cols>
  <sheetData>
    <row r="1" ht="37.5" customHeight="1" spans="1:11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</row>
    <row r="2" ht="19" customHeight="1" spans="1:15">
      <c r="A2" s="161" t="s">
        <v>1</v>
      </c>
      <c r="B2" s="161" t="s">
        <v>2</v>
      </c>
      <c r="C2" s="162" t="s">
        <v>3</v>
      </c>
      <c r="D2" s="162"/>
      <c r="E2" s="162"/>
      <c r="F2" s="162" t="s">
        <v>4</v>
      </c>
      <c r="G2" s="163"/>
      <c r="H2" s="163"/>
      <c r="I2" s="162" t="s">
        <v>5</v>
      </c>
      <c r="J2" s="163"/>
      <c r="K2" s="163"/>
      <c r="M2" s="187" t="s">
        <v>6</v>
      </c>
      <c r="N2" s="188" t="s">
        <v>7</v>
      </c>
      <c r="O2" s="189"/>
    </row>
    <row r="3" ht="20" customHeight="1" spans="1:15">
      <c r="A3" s="161"/>
      <c r="B3" s="161"/>
      <c r="C3" s="164" t="s">
        <v>8</v>
      </c>
      <c r="D3" s="164" t="s">
        <v>9</v>
      </c>
      <c r="E3" s="161" t="s">
        <v>10</v>
      </c>
      <c r="F3" s="165" t="s">
        <v>8</v>
      </c>
      <c r="G3" s="165" t="s">
        <v>9</v>
      </c>
      <c r="H3" s="165" t="s">
        <v>11</v>
      </c>
      <c r="I3" s="165" t="s">
        <v>8</v>
      </c>
      <c r="J3" s="165" t="s">
        <v>9</v>
      </c>
      <c r="K3" s="165" t="s">
        <v>11</v>
      </c>
      <c r="M3" s="187"/>
      <c r="N3" s="190" t="s">
        <v>12</v>
      </c>
      <c r="O3" s="190" t="s">
        <v>13</v>
      </c>
    </row>
    <row r="4" s="159" customFormat="1" spans="1:15">
      <c r="A4" s="166" t="s">
        <v>14</v>
      </c>
      <c r="B4" s="167" t="s">
        <v>15</v>
      </c>
      <c r="C4" s="168"/>
      <c r="D4" s="168"/>
      <c r="E4" s="169"/>
      <c r="F4" s="170"/>
      <c r="G4" s="170"/>
      <c r="H4" s="170"/>
      <c r="I4" s="170"/>
      <c r="J4" s="170"/>
      <c r="K4" s="170"/>
      <c r="M4" s="190">
        <v>0.9</v>
      </c>
      <c r="N4" s="191">
        <v>0.05</v>
      </c>
      <c r="O4" s="191">
        <v>0.06</v>
      </c>
    </row>
    <row r="5" spans="1:11">
      <c r="A5" s="171">
        <v>1</v>
      </c>
      <c r="B5" s="172" t="s">
        <v>16</v>
      </c>
      <c r="C5" s="173">
        <v>10000</v>
      </c>
      <c r="D5" s="173"/>
      <c r="E5" s="173"/>
      <c r="F5" s="125"/>
      <c r="G5" s="125"/>
      <c r="H5" s="125">
        <f t="shared" ref="H5:H11" si="0">C5+D5-F5-G5</f>
        <v>10000</v>
      </c>
      <c r="I5" s="125"/>
      <c r="J5" s="125"/>
      <c r="K5" s="125">
        <f t="shared" ref="K5:K11" si="1">C5+D5-I5-J5</f>
        <v>10000</v>
      </c>
    </row>
    <row r="6" spans="1:11">
      <c r="A6" s="171">
        <v>2</v>
      </c>
      <c r="B6" s="172" t="s">
        <v>17</v>
      </c>
      <c r="C6" s="173"/>
      <c r="D6" s="173">
        <v>100000</v>
      </c>
      <c r="E6" s="173"/>
      <c r="F6" s="125"/>
      <c r="G6" s="125"/>
      <c r="H6" s="125">
        <f t="shared" si="0"/>
        <v>100000</v>
      </c>
      <c r="I6" s="125"/>
      <c r="J6" s="125"/>
      <c r="K6" s="125">
        <f t="shared" si="1"/>
        <v>100000</v>
      </c>
    </row>
    <row r="7" spans="1:11">
      <c r="A7" s="171">
        <v>3</v>
      </c>
      <c r="B7" s="172" t="s">
        <v>18</v>
      </c>
      <c r="C7" s="173"/>
      <c r="D7" s="173"/>
      <c r="E7" s="173"/>
      <c r="F7" s="125"/>
      <c r="G7" s="125"/>
      <c r="H7" s="125">
        <f t="shared" si="0"/>
        <v>0</v>
      </c>
      <c r="I7" s="125"/>
      <c r="J7" s="125"/>
      <c r="K7" s="125">
        <f t="shared" si="1"/>
        <v>0</v>
      </c>
    </row>
    <row r="8" spans="1:11">
      <c r="A8" s="171">
        <v>4</v>
      </c>
      <c r="B8" s="172" t="s">
        <v>18</v>
      </c>
      <c r="C8" s="173"/>
      <c r="D8" s="173"/>
      <c r="E8" s="173"/>
      <c r="F8" s="125"/>
      <c r="G8" s="125"/>
      <c r="H8" s="125">
        <f t="shared" si="0"/>
        <v>0</v>
      </c>
      <c r="I8" s="125"/>
      <c r="J8" s="125"/>
      <c r="K8" s="125">
        <f t="shared" si="1"/>
        <v>0</v>
      </c>
    </row>
    <row r="9" spans="1:11">
      <c r="A9" s="171">
        <v>5</v>
      </c>
      <c r="B9" s="172" t="s">
        <v>18</v>
      </c>
      <c r="C9" s="173"/>
      <c r="D9" s="173"/>
      <c r="E9" s="173"/>
      <c r="F9" s="125"/>
      <c r="G9" s="125"/>
      <c r="H9" s="125">
        <f t="shared" si="0"/>
        <v>0</v>
      </c>
      <c r="I9" s="125"/>
      <c r="J9" s="125"/>
      <c r="K9" s="125">
        <f t="shared" si="1"/>
        <v>0</v>
      </c>
    </row>
    <row r="10" spans="1:11">
      <c r="A10" s="171">
        <v>6</v>
      </c>
      <c r="B10" s="172" t="s">
        <v>18</v>
      </c>
      <c r="C10" s="173"/>
      <c r="D10" s="173"/>
      <c r="E10" s="173"/>
      <c r="F10" s="125"/>
      <c r="G10" s="125"/>
      <c r="H10" s="125">
        <f t="shared" si="0"/>
        <v>0</v>
      </c>
      <c r="I10" s="125"/>
      <c r="J10" s="125"/>
      <c r="K10" s="125">
        <f t="shared" si="1"/>
        <v>0</v>
      </c>
    </row>
    <row r="11" spans="1:11">
      <c r="A11" s="171"/>
      <c r="B11" s="174" t="s">
        <v>19</v>
      </c>
      <c r="C11" s="175">
        <f t="shared" ref="C11:G11" si="2">SUM(C5:C10)</f>
        <v>10000</v>
      </c>
      <c r="D11" s="175">
        <f t="shared" si="2"/>
        <v>100000</v>
      </c>
      <c r="E11" s="175"/>
      <c r="F11" s="176">
        <f t="shared" si="2"/>
        <v>0</v>
      </c>
      <c r="G11" s="176">
        <f t="shared" si="2"/>
        <v>0</v>
      </c>
      <c r="H11" s="176">
        <f t="shared" si="0"/>
        <v>110000</v>
      </c>
      <c r="I11" s="176">
        <f>SUM(I5:I10)</f>
        <v>0</v>
      </c>
      <c r="J11" s="176">
        <f>SUM(J5:J10)</f>
        <v>0</v>
      </c>
      <c r="K11" s="176">
        <f t="shared" si="1"/>
        <v>110000</v>
      </c>
    </row>
    <row r="12" s="159" customFormat="1" spans="1:11">
      <c r="A12" s="166" t="s">
        <v>20</v>
      </c>
      <c r="B12" s="167" t="s">
        <v>21</v>
      </c>
      <c r="C12" s="168"/>
      <c r="D12" s="168"/>
      <c r="E12" s="169"/>
      <c r="F12" s="170"/>
      <c r="G12" s="170"/>
      <c r="H12" s="170"/>
      <c r="I12" s="170"/>
      <c r="J12" s="170"/>
      <c r="K12" s="170"/>
    </row>
    <row r="13" spans="1:11">
      <c r="A13" s="171">
        <v>1</v>
      </c>
      <c r="B13" s="172" t="s">
        <v>21</v>
      </c>
      <c r="C13" s="173">
        <v>1000</v>
      </c>
      <c r="D13" s="173"/>
      <c r="E13" s="173"/>
      <c r="F13" s="125"/>
      <c r="G13" s="125"/>
      <c r="H13" s="125">
        <f t="shared" ref="H13:H19" si="3">C13+D13-F13-G13</f>
        <v>1000</v>
      </c>
      <c r="I13" s="125"/>
      <c r="J13" s="125"/>
      <c r="K13" s="125">
        <f t="shared" ref="K13:K19" si="4">C13+D13-I13-J13</f>
        <v>1000</v>
      </c>
    </row>
    <row r="14" spans="1:13">
      <c r="A14" s="171"/>
      <c r="B14" s="174" t="s">
        <v>19</v>
      </c>
      <c r="C14" s="175">
        <f>C13</f>
        <v>1000</v>
      </c>
      <c r="D14" s="175"/>
      <c r="E14" s="175"/>
      <c r="F14" s="175">
        <f>F13</f>
        <v>0</v>
      </c>
      <c r="G14" s="175"/>
      <c r="H14" s="176">
        <f t="shared" si="3"/>
        <v>1000</v>
      </c>
      <c r="I14" s="175">
        <f>I13</f>
        <v>0</v>
      </c>
      <c r="J14" s="175"/>
      <c r="K14" s="176">
        <f t="shared" si="4"/>
        <v>1000</v>
      </c>
      <c r="M14" s="159" t="s">
        <v>22</v>
      </c>
    </row>
    <row r="15" spans="1:11">
      <c r="A15" s="171"/>
      <c r="B15" s="174" t="s">
        <v>23</v>
      </c>
      <c r="C15" s="175">
        <f t="shared" ref="C15:K15" si="5">+C14+C11</f>
        <v>11000</v>
      </c>
      <c r="D15" s="175">
        <f t="shared" si="5"/>
        <v>100000</v>
      </c>
      <c r="E15" s="175"/>
      <c r="F15" s="175">
        <f t="shared" si="5"/>
        <v>0</v>
      </c>
      <c r="G15" s="175">
        <f t="shared" si="5"/>
        <v>0</v>
      </c>
      <c r="H15" s="175">
        <f t="shared" si="5"/>
        <v>111000</v>
      </c>
      <c r="I15" s="175">
        <f t="shared" si="5"/>
        <v>0</v>
      </c>
      <c r="J15" s="175">
        <f t="shared" si="5"/>
        <v>0</v>
      </c>
      <c r="K15" s="175">
        <f t="shared" si="5"/>
        <v>111000</v>
      </c>
    </row>
    <row r="16" s="159" customFormat="1" spans="1:12">
      <c r="A16" s="166" t="s">
        <v>24</v>
      </c>
      <c r="B16" s="167" t="s">
        <v>25</v>
      </c>
      <c r="C16" s="168"/>
      <c r="D16" s="168"/>
      <c r="E16" s="169"/>
      <c r="F16" s="170"/>
      <c r="G16" s="170"/>
      <c r="H16" s="170"/>
      <c r="I16" s="170"/>
      <c r="J16" s="170"/>
      <c r="K16" s="170"/>
      <c r="L16" s="192"/>
    </row>
    <row r="17" ht="26" spans="1:12">
      <c r="A17" s="53">
        <v>1</v>
      </c>
      <c r="B17" s="177" t="str">
        <f>"勘察测量 框架下浮"&amp;N4*100&amp;"%"&amp;"、"&amp;M2&amp;M4</f>
        <v>勘察测量 框架下浮5%、2024版其他费用系数0.9</v>
      </c>
      <c r="C17" s="125">
        <f t="shared" ref="C17:G17" si="6">C11*(1-$N$4)*$M$4</f>
        <v>8550</v>
      </c>
      <c r="D17" s="125">
        <f t="shared" si="6"/>
        <v>85500</v>
      </c>
      <c r="E17" s="125"/>
      <c r="F17" s="125">
        <f t="shared" si="6"/>
        <v>0</v>
      </c>
      <c r="G17" s="125">
        <f t="shared" si="6"/>
        <v>0</v>
      </c>
      <c r="H17" s="125">
        <f t="shared" si="3"/>
        <v>94050</v>
      </c>
      <c r="I17" s="125">
        <f>I11*(1-$N$4)*$M$4</f>
        <v>0</v>
      </c>
      <c r="J17" s="125">
        <f>J11*(1-$N$4)*$M$4</f>
        <v>0</v>
      </c>
      <c r="K17" s="125">
        <f t="shared" si="4"/>
        <v>94050</v>
      </c>
      <c r="L17" s="192"/>
    </row>
    <row r="18" spans="1:12">
      <c r="A18" s="171">
        <v>2</v>
      </c>
      <c r="B18" s="172" t="str">
        <f>"航测费用 框架下浮"&amp;O4*100&amp;"%"</f>
        <v>航测费用 框架下浮6%</v>
      </c>
      <c r="C18" s="173">
        <f>C14*(1-$O$4)</f>
        <v>940</v>
      </c>
      <c r="D18" s="173"/>
      <c r="E18" s="173"/>
      <c r="F18" s="173">
        <f>F14*(1-$O$4)</f>
        <v>0</v>
      </c>
      <c r="G18" s="173"/>
      <c r="H18" s="125">
        <f t="shared" si="3"/>
        <v>940</v>
      </c>
      <c r="I18" s="173">
        <f>I14*(1-$O$4)</f>
        <v>0</v>
      </c>
      <c r="J18" s="125"/>
      <c r="K18" s="125">
        <f t="shared" si="4"/>
        <v>940</v>
      </c>
      <c r="L18" s="192"/>
    </row>
    <row r="19" spans="1:12">
      <c r="A19" s="171"/>
      <c r="B19" s="174" t="s">
        <v>19</v>
      </c>
      <c r="C19" s="175">
        <f t="shared" ref="C19:G19" si="7">+C17+C18</f>
        <v>9490</v>
      </c>
      <c r="D19" s="175">
        <f t="shared" si="7"/>
        <v>85500</v>
      </c>
      <c r="E19" s="175"/>
      <c r="F19" s="175">
        <f t="shared" si="7"/>
        <v>0</v>
      </c>
      <c r="G19" s="175">
        <f t="shared" si="7"/>
        <v>0</v>
      </c>
      <c r="H19" s="176">
        <f t="shared" si="3"/>
        <v>94990</v>
      </c>
      <c r="I19" s="175">
        <f>+I17+I18</f>
        <v>0</v>
      </c>
      <c r="J19" s="175">
        <f>+J17+J18</f>
        <v>0</v>
      </c>
      <c r="K19" s="176">
        <f t="shared" si="4"/>
        <v>94990</v>
      </c>
      <c r="L19" s="192"/>
    </row>
    <row r="20" s="159" customFormat="1" spans="1:11">
      <c r="A20" s="166" t="s">
        <v>26</v>
      </c>
      <c r="B20" s="167" t="s">
        <v>27</v>
      </c>
      <c r="C20" s="168"/>
      <c r="D20" s="168"/>
      <c r="E20" s="169"/>
      <c r="F20" s="170"/>
      <c r="G20" s="170"/>
      <c r="H20" s="170"/>
      <c r="I20" s="170"/>
      <c r="J20" s="170"/>
      <c r="K20" s="170"/>
    </row>
    <row r="21" spans="1:12">
      <c r="A21" s="171">
        <v>1</v>
      </c>
      <c r="B21" s="178" t="s">
        <v>28</v>
      </c>
      <c r="C21" s="179">
        <v>500</v>
      </c>
      <c r="D21" s="180"/>
      <c r="E21" s="181"/>
      <c r="F21" s="125"/>
      <c r="G21" s="125"/>
      <c r="H21" s="125">
        <f>C21-F21</f>
        <v>500</v>
      </c>
      <c r="I21" s="125"/>
      <c r="J21" s="125"/>
      <c r="K21" s="125">
        <f t="shared" ref="K21:K26" si="8">C21-I21</f>
        <v>500</v>
      </c>
      <c r="L21" s="193"/>
    </row>
    <row r="22" spans="1:12">
      <c r="A22" s="171">
        <v>2</v>
      </c>
      <c r="B22" s="178" t="s">
        <v>29</v>
      </c>
      <c r="C22" s="179"/>
      <c r="D22" s="180"/>
      <c r="E22" s="181"/>
      <c r="F22" s="125"/>
      <c r="G22" s="125"/>
      <c r="H22" s="125">
        <f>C22-F22</f>
        <v>0</v>
      </c>
      <c r="I22" s="125"/>
      <c r="J22" s="125"/>
      <c r="K22" s="125">
        <f t="shared" si="8"/>
        <v>0</v>
      </c>
      <c r="L22" s="193"/>
    </row>
    <row r="23" spans="1:12">
      <c r="A23" s="171"/>
      <c r="B23" s="174" t="s">
        <v>19</v>
      </c>
      <c r="C23" s="182">
        <f>+C21+C22</f>
        <v>500</v>
      </c>
      <c r="D23" s="183"/>
      <c r="E23" s="184"/>
      <c r="F23" s="182">
        <f>+F21+F22</f>
        <v>0</v>
      </c>
      <c r="G23" s="183"/>
      <c r="H23" s="176">
        <f>+H22+H21</f>
        <v>500</v>
      </c>
      <c r="I23" s="182">
        <f>+I21+I22</f>
        <v>0</v>
      </c>
      <c r="J23" s="183"/>
      <c r="K23" s="176">
        <f>+K22+K21</f>
        <v>500</v>
      </c>
      <c r="L23" s="193"/>
    </row>
    <row r="24" s="159" customFormat="1" spans="1:11">
      <c r="A24" s="161" t="s">
        <v>30</v>
      </c>
      <c r="B24" s="161" t="s">
        <v>31</v>
      </c>
      <c r="C24" s="175">
        <f>+C19+D19+C23</f>
        <v>95490</v>
      </c>
      <c r="D24" s="175"/>
      <c r="E24" s="181" t="s">
        <v>32</v>
      </c>
      <c r="F24" s="175">
        <f>+F19+G19+F23</f>
        <v>0</v>
      </c>
      <c r="G24" s="175"/>
      <c r="H24" s="176">
        <f t="shared" ref="H24:H26" si="9">+C24-F24</f>
        <v>95490</v>
      </c>
      <c r="I24" s="175">
        <f>+I19+J19+I23</f>
        <v>0</v>
      </c>
      <c r="J24" s="175"/>
      <c r="K24" s="176">
        <f t="shared" si="8"/>
        <v>95490</v>
      </c>
    </row>
    <row r="25" s="159" customFormat="1" spans="1:11">
      <c r="A25" s="161"/>
      <c r="B25" s="161"/>
      <c r="C25" s="175">
        <f>C24/1.06</f>
        <v>90084.9056603773</v>
      </c>
      <c r="D25" s="175"/>
      <c r="E25" s="185" t="s">
        <v>33</v>
      </c>
      <c r="F25" s="175">
        <f>F24/1.06</f>
        <v>0</v>
      </c>
      <c r="G25" s="175"/>
      <c r="H25" s="176">
        <f t="shared" si="9"/>
        <v>90084.9056603773</v>
      </c>
      <c r="I25" s="175">
        <f>I24/1.06</f>
        <v>0</v>
      </c>
      <c r="J25" s="175"/>
      <c r="K25" s="176">
        <f t="shared" si="8"/>
        <v>90084.9056603773</v>
      </c>
    </row>
    <row r="26" s="159" customFormat="1" spans="1:11">
      <c r="A26" s="161"/>
      <c r="B26" s="161"/>
      <c r="C26" s="182">
        <f>C24-C25</f>
        <v>5405.09433962265</v>
      </c>
      <c r="D26" s="183"/>
      <c r="E26" s="181" t="s">
        <v>34</v>
      </c>
      <c r="F26" s="182">
        <f>F24-F25</f>
        <v>0</v>
      </c>
      <c r="G26" s="183"/>
      <c r="H26" s="176">
        <f t="shared" si="9"/>
        <v>5405.09433962265</v>
      </c>
      <c r="I26" s="182">
        <f>I24-I25</f>
        <v>0</v>
      </c>
      <c r="J26" s="183"/>
      <c r="K26" s="176">
        <f t="shared" si="8"/>
        <v>5405.09433962265</v>
      </c>
    </row>
    <row r="27" spans="5:5">
      <c r="E27" s="186"/>
    </row>
  </sheetData>
  <mergeCells count="28">
    <mergeCell ref="A1:K1"/>
    <mergeCell ref="C2:E2"/>
    <mergeCell ref="F2:H2"/>
    <mergeCell ref="I2:K2"/>
    <mergeCell ref="N2:O2"/>
    <mergeCell ref="C21:D21"/>
    <mergeCell ref="F21:G21"/>
    <mergeCell ref="I21:J21"/>
    <mergeCell ref="C22:D22"/>
    <mergeCell ref="F22:G22"/>
    <mergeCell ref="I22:J22"/>
    <mergeCell ref="C23:D23"/>
    <mergeCell ref="F23:G23"/>
    <mergeCell ref="I23:J23"/>
    <mergeCell ref="C24:D24"/>
    <mergeCell ref="F24:G24"/>
    <mergeCell ref="I24:J24"/>
    <mergeCell ref="C25:D25"/>
    <mergeCell ref="F25:G25"/>
    <mergeCell ref="I25:J25"/>
    <mergeCell ref="C26:D26"/>
    <mergeCell ref="F26:G26"/>
    <mergeCell ref="I26:J26"/>
    <mergeCell ref="A2:A3"/>
    <mergeCell ref="A24:A26"/>
    <mergeCell ref="B2:B3"/>
    <mergeCell ref="B24:B26"/>
    <mergeCell ref="M2:M3"/>
  </mergeCells>
  <pageMargins left="0.7" right="0.7" top="0.75" bottom="0.75" header="0.3" footer="0.3"/>
  <pageSetup paperSize="9" scale="9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C80"/>
  <sheetViews>
    <sheetView showGridLines="0" showZeros="0" view="pageBreakPreview" zoomScale="85" zoomScaleNormal="85" workbookViewId="0">
      <pane ySplit="4" topLeftCell="A5" activePane="bottomLeft" state="frozen"/>
      <selection/>
      <selection pane="bottomLeft" activeCell="L23" sqref="L23"/>
    </sheetView>
  </sheetViews>
  <sheetFormatPr defaultColWidth="9" defaultRowHeight="22.5" customHeight="1"/>
  <cols>
    <col min="1" max="1" width="5.63636363636364" style="34" customWidth="1"/>
    <col min="2" max="2" width="5.44545454545455" style="34" customWidth="1"/>
    <col min="3" max="3" width="23.9545454545455" style="34" customWidth="1"/>
    <col min="4" max="4" width="6" style="34" customWidth="1"/>
    <col min="5" max="5" width="10.9090909090909" style="108" customWidth="1"/>
    <col min="6" max="6" width="4.36363636363636" style="34" customWidth="1"/>
    <col min="7" max="8" width="7" style="34" customWidth="1"/>
    <col min="9" max="9" width="5.81818181818182" style="34" customWidth="1"/>
    <col min="10" max="10" width="8.36363636363636" style="109" customWidth="1"/>
    <col min="11" max="11" width="5.63636363636364" style="109" customWidth="1"/>
    <col min="12" max="12" width="8.90909090909091" style="109" customWidth="1"/>
    <col min="13" max="13" width="11.8181818181818" style="109" customWidth="1"/>
    <col min="14" max="14" width="7.36363636363636" style="34" customWidth="1"/>
    <col min="15" max="15" width="37.0090909090909" style="31" customWidth="1"/>
    <col min="16" max="20" width="9.60909090909091" style="32" customWidth="1" outlineLevel="1"/>
    <col min="21" max="21" width="9.60909090909091" style="33" customWidth="1"/>
    <col min="22" max="22" width="9.60909090909091" style="32" customWidth="1"/>
    <col min="23" max="27" width="9.60909090909091" style="34" customWidth="1" outlineLevel="1"/>
    <col min="28" max="28" width="9.60909090909091" style="35" customWidth="1"/>
    <col min="29" max="29" width="9.60909090909091" style="34" customWidth="1"/>
    <col min="30" max="16384" width="9" style="34"/>
  </cols>
  <sheetData>
    <row r="1" ht="36" customHeight="1" spans="1:15">
      <c r="A1" s="110" t="s">
        <v>35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9"/>
    </row>
    <row r="2" customHeight="1" spans="1:29">
      <c r="A2" s="111" t="s">
        <v>36</v>
      </c>
      <c r="B2" s="111"/>
      <c r="C2" s="111"/>
      <c r="D2" s="111"/>
      <c r="E2" s="111"/>
      <c r="F2" s="111"/>
      <c r="G2" s="100" t="s">
        <v>3</v>
      </c>
      <c r="H2" s="100"/>
      <c r="I2" s="100"/>
      <c r="J2" s="100"/>
      <c r="K2" s="100"/>
      <c r="L2" s="100"/>
      <c r="M2" s="100"/>
      <c r="N2" s="100"/>
      <c r="O2" s="100"/>
      <c r="P2" s="120" t="s">
        <v>37</v>
      </c>
      <c r="Q2" s="134"/>
      <c r="R2" s="134"/>
      <c r="S2" s="134"/>
      <c r="T2" s="134"/>
      <c r="U2" s="134"/>
      <c r="V2" s="135"/>
      <c r="W2" s="136" t="s">
        <v>38</v>
      </c>
      <c r="X2" s="137"/>
      <c r="Y2" s="137"/>
      <c r="Z2" s="137"/>
      <c r="AA2" s="137"/>
      <c r="AB2" s="137"/>
      <c r="AC2" s="146"/>
    </row>
    <row r="3" ht="52" customHeight="1" outlineLevel="1" spans="1:29">
      <c r="A3" s="40" t="s">
        <v>1</v>
      </c>
      <c r="B3" s="40" t="s">
        <v>39</v>
      </c>
      <c r="C3" s="40"/>
      <c r="D3" s="40"/>
      <c r="E3" s="40"/>
      <c r="F3" s="40"/>
      <c r="G3" s="40" t="s">
        <v>40</v>
      </c>
      <c r="H3" s="40"/>
      <c r="I3" s="40"/>
      <c r="J3" s="40"/>
      <c r="K3" s="60" t="s">
        <v>41</v>
      </c>
      <c r="L3" s="121"/>
      <c r="M3" s="60" t="s">
        <v>42</v>
      </c>
      <c r="N3" s="71" t="s">
        <v>43</v>
      </c>
      <c r="O3" s="122" t="s">
        <v>44</v>
      </c>
      <c r="P3" s="123" t="s">
        <v>45</v>
      </c>
      <c r="Q3" s="123" t="s">
        <v>46</v>
      </c>
      <c r="R3" s="123" t="s">
        <v>47</v>
      </c>
      <c r="S3" s="123" t="s">
        <v>48</v>
      </c>
      <c r="T3" s="123" t="s">
        <v>49</v>
      </c>
      <c r="U3" s="123" t="s">
        <v>50</v>
      </c>
      <c r="V3" s="123" t="s">
        <v>51</v>
      </c>
      <c r="W3" s="138" t="s">
        <v>45</v>
      </c>
      <c r="X3" s="138" t="s">
        <v>46</v>
      </c>
      <c r="Y3" s="138" t="s">
        <v>47</v>
      </c>
      <c r="Z3" s="138" t="s">
        <v>48</v>
      </c>
      <c r="AA3" s="138" t="s">
        <v>49</v>
      </c>
      <c r="AB3" s="138" t="s">
        <v>50</v>
      </c>
      <c r="AC3" s="138" t="s">
        <v>51</v>
      </c>
    </row>
    <row r="4" ht="38" customHeight="1" outlineLevel="1" spans="1:29">
      <c r="A4" s="40"/>
      <c r="B4" s="40" t="s">
        <v>52</v>
      </c>
      <c r="C4" s="40" t="s">
        <v>53</v>
      </c>
      <c r="D4" s="40" t="s">
        <v>54</v>
      </c>
      <c r="E4" s="42" t="s">
        <v>55</v>
      </c>
      <c r="F4" s="40" t="s">
        <v>56</v>
      </c>
      <c r="G4" s="40" t="s">
        <v>57</v>
      </c>
      <c r="H4" s="61" t="s">
        <v>58</v>
      </c>
      <c r="I4" s="40" t="s">
        <v>59</v>
      </c>
      <c r="J4" s="60" t="s">
        <v>19</v>
      </c>
      <c r="K4" s="40" t="s">
        <v>59</v>
      </c>
      <c r="L4" s="40" t="s">
        <v>19</v>
      </c>
      <c r="M4" s="60"/>
      <c r="N4" s="71"/>
      <c r="O4" s="71"/>
      <c r="P4" s="124"/>
      <c r="Q4" s="124" t="s">
        <v>46</v>
      </c>
      <c r="R4" s="124" t="s">
        <v>47</v>
      </c>
      <c r="S4" s="124" t="s">
        <v>48</v>
      </c>
      <c r="T4" s="124" t="s">
        <v>49</v>
      </c>
      <c r="U4" s="124" t="s">
        <v>50</v>
      </c>
      <c r="V4" s="124" t="s">
        <v>51</v>
      </c>
      <c r="W4" s="139"/>
      <c r="X4" s="139"/>
      <c r="Y4" s="139"/>
      <c r="Z4" s="139"/>
      <c r="AA4" s="139"/>
      <c r="AB4" s="139"/>
      <c r="AC4" s="139"/>
    </row>
    <row r="5" customHeight="1" outlineLevel="1" spans="1:29">
      <c r="A5" s="43">
        <v>1</v>
      </c>
      <c r="B5" s="43" t="s">
        <v>60</v>
      </c>
      <c r="C5" s="43" t="s">
        <v>61</v>
      </c>
      <c r="D5" s="43" t="s">
        <v>62</v>
      </c>
      <c r="E5" s="43" t="s">
        <v>63</v>
      </c>
      <c r="F5" s="46" t="s">
        <v>64</v>
      </c>
      <c r="G5" s="43"/>
      <c r="H5" s="43">
        <f>IF(D5="GPS测量E级",VLOOKUP(E5,{"简单","2821";"中等","3203";"复杂","4123"},2,0))+IF(D5="GPS测量D级",VLOOKUP(E5,{"简单","3198";"中等","3632";"复杂","4671"},2,0))+IF(D5="GPS测量C级",VLOOKUP(E5,{"简单","3727";"中等","4274";"复杂","5500"},2,0))</f>
        <v>4671</v>
      </c>
      <c r="I5" s="43">
        <v>0.6</v>
      </c>
      <c r="J5" s="55">
        <f>G5*I5*H5</f>
        <v>0</v>
      </c>
      <c r="K5" s="46">
        <v>0.22</v>
      </c>
      <c r="L5" s="55">
        <f>J5*K5</f>
        <v>0</v>
      </c>
      <c r="M5" s="125">
        <f>J5+L5</f>
        <v>0</v>
      </c>
      <c r="N5" s="87" t="s">
        <v>65</v>
      </c>
      <c r="O5" s="126" t="s">
        <v>66</v>
      </c>
      <c r="P5" s="127"/>
      <c r="Q5" s="128">
        <f t="shared" ref="Q5:Q39" si="0">G5</f>
        <v>0</v>
      </c>
      <c r="R5" s="128">
        <f t="shared" ref="R5:R39" si="1">I5</f>
        <v>0.6</v>
      </c>
      <c r="S5" s="128">
        <f t="shared" ref="S5:S39" si="2">H5</f>
        <v>4671</v>
      </c>
      <c r="T5" s="128">
        <f t="shared" ref="T5:T39" si="3">K5</f>
        <v>0.22</v>
      </c>
      <c r="U5" s="140">
        <f t="shared" ref="U5:U39" si="4">Q5*R5*S5*(1+T5)</f>
        <v>0</v>
      </c>
      <c r="V5" s="128"/>
      <c r="W5" s="53"/>
      <c r="X5" s="53">
        <f t="shared" ref="X5:X39" si="5">G5</f>
        <v>0</v>
      </c>
      <c r="Y5" s="53">
        <f t="shared" ref="Y5:Y39" si="6">I5</f>
        <v>0.6</v>
      </c>
      <c r="Z5" s="53">
        <f t="shared" ref="Z5:Z39" si="7">H5</f>
        <v>4671</v>
      </c>
      <c r="AA5" s="53">
        <f t="shared" ref="AA5:AA39" si="8">K5</f>
        <v>0.22</v>
      </c>
      <c r="AB5" s="147">
        <f t="shared" ref="AB5:AB39" si="9">X5*Y5*Z5*(1+AA5)</f>
        <v>0</v>
      </c>
      <c r="AC5" s="53"/>
    </row>
    <row r="6" customHeight="1" outlineLevel="1" spans="1:29">
      <c r="A6" s="43">
        <v>2</v>
      </c>
      <c r="B6" s="43"/>
      <c r="C6" s="43" t="s">
        <v>61</v>
      </c>
      <c r="D6" s="43" t="s">
        <v>62</v>
      </c>
      <c r="E6" s="43" t="s">
        <v>67</v>
      </c>
      <c r="F6" s="46" t="s">
        <v>64</v>
      </c>
      <c r="G6" s="43"/>
      <c r="H6" s="43">
        <f>IF(D6="GPS测量E级",VLOOKUP(E6,{"简单","2821";"中等","3203";"复杂","4123"},2,0))+IF(D6="GPS测量D级",VLOOKUP(E6,{"简单","3198";"中等","3632";"复杂","4671"},2,0))+IF(D6="GPS测量C级",VLOOKUP(E6,{"简单","3727";"中等","4274";"复杂","5500"},2,0))</f>
        <v>3632</v>
      </c>
      <c r="I6" s="43">
        <v>0.6</v>
      </c>
      <c r="J6" s="55">
        <f>G6*I6*H6</f>
        <v>0</v>
      </c>
      <c r="K6" s="46">
        <v>0.22</v>
      </c>
      <c r="L6" s="55">
        <f>J6*K6</f>
        <v>0</v>
      </c>
      <c r="M6" s="125">
        <f>J6+L6</f>
        <v>0</v>
      </c>
      <c r="N6" s="87"/>
      <c r="O6" s="126" t="s">
        <v>66</v>
      </c>
      <c r="P6" s="127"/>
      <c r="Q6" s="128">
        <f t="shared" si="0"/>
        <v>0</v>
      </c>
      <c r="R6" s="128">
        <f t="shared" si="1"/>
        <v>0.6</v>
      </c>
      <c r="S6" s="128">
        <f t="shared" si="2"/>
        <v>3632</v>
      </c>
      <c r="T6" s="128">
        <f t="shared" si="3"/>
        <v>0.22</v>
      </c>
      <c r="U6" s="140">
        <f t="shared" si="4"/>
        <v>0</v>
      </c>
      <c r="V6" s="128"/>
      <c r="W6" s="53"/>
      <c r="X6" s="53">
        <f t="shared" si="5"/>
        <v>0</v>
      </c>
      <c r="Y6" s="53">
        <f t="shared" si="6"/>
        <v>0.6</v>
      </c>
      <c r="Z6" s="53">
        <f t="shared" si="7"/>
        <v>3632</v>
      </c>
      <c r="AA6" s="53">
        <f t="shared" si="8"/>
        <v>0.22</v>
      </c>
      <c r="AB6" s="147">
        <f t="shared" si="9"/>
        <v>0</v>
      </c>
      <c r="AC6" s="53"/>
    </row>
    <row r="7" customHeight="1" outlineLevel="1" spans="1:29">
      <c r="A7" s="43">
        <v>3</v>
      </c>
      <c r="B7" s="43"/>
      <c r="C7" s="53" t="s">
        <v>68</v>
      </c>
      <c r="D7" s="43" t="s">
        <v>69</v>
      </c>
      <c r="E7" s="43" t="s">
        <v>67</v>
      </c>
      <c r="F7" s="46" t="s">
        <v>70</v>
      </c>
      <c r="G7" s="43"/>
      <c r="H7" s="43">
        <f>IF(D7="GPS测量E级",VLOOKUP(E7,{"简单","2821";"中等","3203";"复杂","4123"},2,0))+IF(D7="GPS测量D级",VLOOKUP(E7,{"简单","3198";"中等","3632";"复杂","4671"},2,0))+IF(D7="GPS测量C级",VLOOKUP(E7,{"简单","3727";"中等","4274";"复杂","5500"},2,0))</f>
        <v>3203</v>
      </c>
      <c r="I7" s="43">
        <v>0.6</v>
      </c>
      <c r="J7" s="55">
        <f t="shared" ref="J7:J18" si="10">G7*I7*H7</f>
        <v>0</v>
      </c>
      <c r="K7" s="46">
        <v>0.22</v>
      </c>
      <c r="L7" s="55">
        <f t="shared" ref="L7:L15" si="11">J7*K7</f>
        <v>0</v>
      </c>
      <c r="M7" s="125">
        <f t="shared" ref="M7:M15" si="12">J7+L7</f>
        <v>0</v>
      </c>
      <c r="N7" s="53"/>
      <c r="O7" s="126" t="s">
        <v>66</v>
      </c>
      <c r="P7" s="127"/>
      <c r="Q7" s="128">
        <f t="shared" si="0"/>
        <v>0</v>
      </c>
      <c r="R7" s="128">
        <f t="shared" si="1"/>
        <v>0.6</v>
      </c>
      <c r="S7" s="128">
        <f t="shared" si="2"/>
        <v>3203</v>
      </c>
      <c r="T7" s="128">
        <f t="shared" si="3"/>
        <v>0.22</v>
      </c>
      <c r="U7" s="140">
        <f t="shared" si="4"/>
        <v>0</v>
      </c>
      <c r="V7" s="128"/>
      <c r="W7" s="53"/>
      <c r="X7" s="53">
        <f t="shared" si="5"/>
        <v>0</v>
      </c>
      <c r="Y7" s="53">
        <f t="shared" si="6"/>
        <v>0.6</v>
      </c>
      <c r="Z7" s="53">
        <f t="shared" si="7"/>
        <v>3203</v>
      </c>
      <c r="AA7" s="53">
        <f t="shared" si="8"/>
        <v>0.22</v>
      </c>
      <c r="AB7" s="147">
        <f t="shared" si="9"/>
        <v>0</v>
      </c>
      <c r="AC7" s="53"/>
    </row>
    <row r="8" customHeight="1" outlineLevel="1" spans="1:29">
      <c r="A8" s="43">
        <v>4</v>
      </c>
      <c r="B8" s="43"/>
      <c r="C8" s="53" t="s">
        <v>71</v>
      </c>
      <c r="D8" s="43" t="s">
        <v>69</v>
      </c>
      <c r="E8" s="43" t="s">
        <v>63</v>
      </c>
      <c r="F8" s="46" t="s">
        <v>70</v>
      </c>
      <c r="G8" s="43"/>
      <c r="H8" s="43">
        <f>IF(D8="GPS测量E级",VLOOKUP(E8,{"简单","2821";"中等","3203";"复杂","4123"},2,0))+IF(D8="GPS测量D级",VLOOKUP(E8,{"简单","3198";"中等","3632";"复杂","4671"},2,0))+IF(D8="GPS测量C级",VLOOKUP(E8,{"简单","3727";"中等","4274";"复杂","5500"},2,0))</f>
        <v>4123</v>
      </c>
      <c r="I8" s="43">
        <v>0.6</v>
      </c>
      <c r="J8" s="55">
        <f t="shared" si="10"/>
        <v>0</v>
      </c>
      <c r="K8" s="46">
        <v>0.22</v>
      </c>
      <c r="L8" s="55">
        <f t="shared" si="11"/>
        <v>0</v>
      </c>
      <c r="M8" s="125">
        <f t="shared" si="12"/>
        <v>0</v>
      </c>
      <c r="N8" s="53"/>
      <c r="O8" s="126" t="s">
        <v>66</v>
      </c>
      <c r="P8" s="128"/>
      <c r="Q8" s="128">
        <f t="shared" si="0"/>
        <v>0</v>
      </c>
      <c r="R8" s="128">
        <f t="shared" si="1"/>
        <v>0.6</v>
      </c>
      <c r="S8" s="128">
        <f t="shared" si="2"/>
        <v>4123</v>
      </c>
      <c r="T8" s="128">
        <f t="shared" si="3"/>
        <v>0.22</v>
      </c>
      <c r="U8" s="140">
        <f t="shared" si="4"/>
        <v>0</v>
      </c>
      <c r="V8" s="128"/>
      <c r="W8" s="53"/>
      <c r="X8" s="53">
        <f t="shared" si="5"/>
        <v>0</v>
      </c>
      <c r="Y8" s="53">
        <f t="shared" si="6"/>
        <v>0.6</v>
      </c>
      <c r="Z8" s="53">
        <f t="shared" si="7"/>
        <v>4123</v>
      </c>
      <c r="AA8" s="53">
        <f t="shared" si="8"/>
        <v>0.22</v>
      </c>
      <c r="AB8" s="147">
        <f t="shared" si="9"/>
        <v>0</v>
      </c>
      <c r="AC8" s="53"/>
    </row>
    <row r="9" customHeight="1" outlineLevel="1" spans="1:29">
      <c r="A9" s="43">
        <v>5</v>
      </c>
      <c r="B9" s="43"/>
      <c r="C9" s="43" t="s">
        <v>72</v>
      </c>
      <c r="D9" s="43" t="s">
        <v>69</v>
      </c>
      <c r="E9" s="43" t="s">
        <v>63</v>
      </c>
      <c r="F9" s="46" t="s">
        <v>70</v>
      </c>
      <c r="G9" s="43"/>
      <c r="H9" s="43">
        <f>IF(D9="GPS测量E级",VLOOKUP(E9,{"简单","2821";"中等","3203";"复杂","4123"},2,0))+IF(D9="GPS测量D级",VLOOKUP(E9,{"简单","3198";"中等","3632";"复杂","4671"},2,0))+IF(D9="GPS测量C级",VLOOKUP(E9,{"简单","3727";"中等","4274";"复杂","5500"},2,0))</f>
        <v>4123</v>
      </c>
      <c r="I9" s="43">
        <v>0.6</v>
      </c>
      <c r="J9" s="55">
        <f t="shared" si="10"/>
        <v>0</v>
      </c>
      <c r="K9" s="46">
        <v>0.22</v>
      </c>
      <c r="L9" s="55">
        <f t="shared" si="11"/>
        <v>0</v>
      </c>
      <c r="M9" s="125">
        <f t="shared" si="12"/>
        <v>0</v>
      </c>
      <c r="N9" s="53"/>
      <c r="O9" s="126" t="s">
        <v>66</v>
      </c>
      <c r="P9" s="128"/>
      <c r="Q9" s="128">
        <f t="shared" si="0"/>
        <v>0</v>
      </c>
      <c r="R9" s="128">
        <f t="shared" si="1"/>
        <v>0.6</v>
      </c>
      <c r="S9" s="128">
        <f t="shared" si="2"/>
        <v>4123</v>
      </c>
      <c r="T9" s="128">
        <f t="shared" si="3"/>
        <v>0.22</v>
      </c>
      <c r="U9" s="140">
        <f t="shared" si="4"/>
        <v>0</v>
      </c>
      <c r="V9" s="128"/>
      <c r="W9" s="53"/>
      <c r="X9" s="53">
        <f t="shared" si="5"/>
        <v>0</v>
      </c>
      <c r="Y9" s="53">
        <f t="shared" si="6"/>
        <v>0.6</v>
      </c>
      <c r="Z9" s="53">
        <f t="shared" si="7"/>
        <v>4123</v>
      </c>
      <c r="AA9" s="53">
        <f t="shared" si="8"/>
        <v>0.22</v>
      </c>
      <c r="AB9" s="147">
        <f t="shared" si="9"/>
        <v>0</v>
      </c>
      <c r="AC9" s="53"/>
    </row>
    <row r="10" customHeight="1" outlineLevel="1" spans="1:29">
      <c r="A10" s="43">
        <v>6</v>
      </c>
      <c r="B10" s="43"/>
      <c r="C10" s="43" t="s">
        <v>73</v>
      </c>
      <c r="D10" s="43" t="s">
        <v>69</v>
      </c>
      <c r="E10" s="43" t="s">
        <v>63</v>
      </c>
      <c r="F10" s="46" t="s">
        <v>70</v>
      </c>
      <c r="G10" s="43"/>
      <c r="H10" s="43">
        <f>IF(D10="GPS测量E级",VLOOKUP(E10,{"简单","2821";"中等","3203";"复杂","4123"},2,0))+IF(D10="GPS测量D级",VLOOKUP(E10,{"简单","3198";"中等","3632";"复杂","4671"},2,0))+IF(D10="GPS测量C级",VLOOKUP(E10,{"简单","3727";"中等","4274";"复杂","5500"},2,0))</f>
        <v>4123</v>
      </c>
      <c r="I10" s="43">
        <v>0.6</v>
      </c>
      <c r="J10" s="55">
        <f t="shared" si="10"/>
        <v>0</v>
      </c>
      <c r="K10" s="46">
        <v>0.22</v>
      </c>
      <c r="L10" s="55">
        <f t="shared" si="11"/>
        <v>0</v>
      </c>
      <c r="M10" s="125">
        <f t="shared" si="12"/>
        <v>0</v>
      </c>
      <c r="N10" s="53"/>
      <c r="O10" s="126" t="s">
        <v>66</v>
      </c>
      <c r="P10" s="128"/>
      <c r="Q10" s="128">
        <f t="shared" si="0"/>
        <v>0</v>
      </c>
      <c r="R10" s="128">
        <f t="shared" si="1"/>
        <v>0.6</v>
      </c>
      <c r="S10" s="128">
        <f t="shared" si="2"/>
        <v>4123</v>
      </c>
      <c r="T10" s="128">
        <f t="shared" si="3"/>
        <v>0.22</v>
      </c>
      <c r="U10" s="140">
        <f t="shared" si="4"/>
        <v>0</v>
      </c>
      <c r="V10" s="128"/>
      <c r="W10" s="53"/>
      <c r="X10" s="53">
        <f t="shared" si="5"/>
        <v>0</v>
      </c>
      <c r="Y10" s="53">
        <f t="shared" si="6"/>
        <v>0.6</v>
      </c>
      <c r="Z10" s="53">
        <f t="shared" si="7"/>
        <v>4123</v>
      </c>
      <c r="AA10" s="53">
        <f t="shared" si="8"/>
        <v>0.22</v>
      </c>
      <c r="AB10" s="147">
        <f t="shared" si="9"/>
        <v>0</v>
      </c>
      <c r="AC10" s="53"/>
    </row>
    <row r="11" customHeight="1" outlineLevel="1" spans="1:29">
      <c r="A11" s="43">
        <v>7</v>
      </c>
      <c r="B11" s="43"/>
      <c r="C11" s="43" t="s">
        <v>74</v>
      </c>
      <c r="D11" s="43" t="s">
        <v>69</v>
      </c>
      <c r="E11" s="43" t="s">
        <v>67</v>
      </c>
      <c r="F11" s="46" t="s">
        <v>70</v>
      </c>
      <c r="G11" s="43">
        <v>6</v>
      </c>
      <c r="H11" s="43">
        <f>IF(D11="GPS测量E级",VLOOKUP(E11,{"简单","2821";"中等","3203";"复杂","4123"},2,0))+IF(D11="GPS测量D级",VLOOKUP(E11,{"简单","3198";"中等","3632";"复杂","4671"},2,0))+IF(D11="GPS测量C级",VLOOKUP(E11,{"简单","3727";"中等","4274";"复杂","5500"},2,0))</f>
        <v>3203</v>
      </c>
      <c r="I11" s="43">
        <v>0.6</v>
      </c>
      <c r="J11" s="55">
        <f t="shared" si="10"/>
        <v>11530.8</v>
      </c>
      <c r="K11" s="46">
        <v>0.22</v>
      </c>
      <c r="L11" s="55">
        <f t="shared" si="11"/>
        <v>2536.776</v>
      </c>
      <c r="M11" s="125">
        <f t="shared" si="12"/>
        <v>14067.576</v>
      </c>
      <c r="N11" s="53"/>
      <c r="O11" s="126" t="s">
        <v>66</v>
      </c>
      <c r="P11" s="128"/>
      <c r="Q11" s="128">
        <f t="shared" si="0"/>
        <v>6</v>
      </c>
      <c r="R11" s="128">
        <f t="shared" si="1"/>
        <v>0.6</v>
      </c>
      <c r="S11" s="128">
        <f t="shared" si="2"/>
        <v>3203</v>
      </c>
      <c r="T11" s="128">
        <f t="shared" si="3"/>
        <v>0.22</v>
      </c>
      <c r="U11" s="140">
        <f t="shared" si="4"/>
        <v>14067.576</v>
      </c>
      <c r="V11" s="128"/>
      <c r="W11" s="53"/>
      <c r="X11" s="53">
        <f t="shared" si="5"/>
        <v>6</v>
      </c>
      <c r="Y11" s="53">
        <f t="shared" si="6"/>
        <v>0.6</v>
      </c>
      <c r="Z11" s="53">
        <f t="shared" si="7"/>
        <v>3203</v>
      </c>
      <c r="AA11" s="53">
        <f t="shared" si="8"/>
        <v>0.22</v>
      </c>
      <c r="AB11" s="147">
        <f t="shared" si="9"/>
        <v>14067.576</v>
      </c>
      <c r="AC11" s="53"/>
    </row>
    <row r="12" customHeight="1" outlineLevel="1" spans="1:29">
      <c r="A12" s="43">
        <v>8</v>
      </c>
      <c r="B12" s="43"/>
      <c r="C12" s="43" t="s">
        <v>75</v>
      </c>
      <c r="D12" s="43" t="s">
        <v>69</v>
      </c>
      <c r="E12" s="43" t="s">
        <v>76</v>
      </c>
      <c r="F12" s="46" t="s">
        <v>70</v>
      </c>
      <c r="G12" s="43">
        <v>6</v>
      </c>
      <c r="H12" s="43">
        <f>IF(D12="GPS测量E级",VLOOKUP(E12,{"简单","2821";"中等","3203";"复杂","4123"},2,0))+IF(D12="GPS测量D级",VLOOKUP(E12,{"简单","3198";"中等","3632";"复杂","4671"},2,0))+IF(D12="GPS测量C级",VLOOKUP(E12,{"简单","3727";"中等","4274";"复杂","5500"},2,0))+IF(D12="三角（边）一级",VLOOKUP(E12,{"简单","1096";"中等","1244";"复杂","1602"},2,0))</f>
        <v>2821</v>
      </c>
      <c r="I12" s="43">
        <v>0.6</v>
      </c>
      <c r="J12" s="55">
        <f t="shared" si="10"/>
        <v>10155.6</v>
      </c>
      <c r="K12" s="46">
        <v>0.22</v>
      </c>
      <c r="L12" s="55">
        <f t="shared" si="11"/>
        <v>2234.232</v>
      </c>
      <c r="M12" s="125">
        <f t="shared" si="12"/>
        <v>12389.832</v>
      </c>
      <c r="N12" s="53"/>
      <c r="O12" s="126" t="s">
        <v>66</v>
      </c>
      <c r="P12" s="128"/>
      <c r="Q12" s="128">
        <f t="shared" si="0"/>
        <v>6</v>
      </c>
      <c r="R12" s="128">
        <f t="shared" si="1"/>
        <v>0.6</v>
      </c>
      <c r="S12" s="128">
        <f t="shared" si="2"/>
        <v>2821</v>
      </c>
      <c r="T12" s="128">
        <f t="shared" si="3"/>
        <v>0.22</v>
      </c>
      <c r="U12" s="140">
        <f t="shared" si="4"/>
        <v>12389.832</v>
      </c>
      <c r="V12" s="128"/>
      <c r="W12" s="53"/>
      <c r="X12" s="53">
        <f t="shared" si="5"/>
        <v>6</v>
      </c>
      <c r="Y12" s="53">
        <f t="shared" si="6"/>
        <v>0.6</v>
      </c>
      <c r="Z12" s="53">
        <f t="shared" si="7"/>
        <v>2821</v>
      </c>
      <c r="AA12" s="53">
        <f t="shared" si="8"/>
        <v>0.22</v>
      </c>
      <c r="AB12" s="147">
        <f t="shared" si="9"/>
        <v>12389.832</v>
      </c>
      <c r="AC12" s="53"/>
    </row>
    <row r="13" customHeight="1" outlineLevel="1" spans="1:29">
      <c r="A13" s="43">
        <v>9</v>
      </c>
      <c r="B13" s="43"/>
      <c r="C13" s="43" t="s">
        <v>77</v>
      </c>
      <c r="D13" s="43" t="s">
        <v>69</v>
      </c>
      <c r="E13" s="43" t="s">
        <v>63</v>
      </c>
      <c r="F13" s="46" t="s">
        <v>70</v>
      </c>
      <c r="G13" s="43"/>
      <c r="H13" s="43">
        <f>IF(D13="GPS测量E级",VLOOKUP(E13,{"简单","2821";"中等","3203";"复杂","4123"},2,0))+IF(D13="GPS测量D级",VLOOKUP(E13,{"简单","3198";"中等","3632";"复杂","4671"},2,0))+IF(D13="GPS测量C级",VLOOKUP(E13,{"简单","3727";"中等","4274";"复杂","5500"},2,0))</f>
        <v>4123</v>
      </c>
      <c r="I13" s="43">
        <v>0.6</v>
      </c>
      <c r="J13" s="55">
        <f t="shared" si="10"/>
        <v>0</v>
      </c>
      <c r="K13" s="46">
        <v>0.22</v>
      </c>
      <c r="L13" s="55">
        <f t="shared" si="11"/>
        <v>0</v>
      </c>
      <c r="M13" s="125">
        <f t="shared" si="12"/>
        <v>0</v>
      </c>
      <c r="N13" s="53"/>
      <c r="O13" s="126" t="s">
        <v>66</v>
      </c>
      <c r="P13" s="128"/>
      <c r="Q13" s="128">
        <f t="shared" si="0"/>
        <v>0</v>
      </c>
      <c r="R13" s="128">
        <f t="shared" si="1"/>
        <v>0.6</v>
      </c>
      <c r="S13" s="128">
        <f t="shared" si="2"/>
        <v>4123</v>
      </c>
      <c r="T13" s="128">
        <f t="shared" si="3"/>
        <v>0.22</v>
      </c>
      <c r="U13" s="140">
        <f t="shared" si="4"/>
        <v>0</v>
      </c>
      <c r="V13" s="128"/>
      <c r="W13" s="53"/>
      <c r="X13" s="53">
        <f t="shared" si="5"/>
        <v>0</v>
      </c>
      <c r="Y13" s="53">
        <f t="shared" si="6"/>
        <v>0.6</v>
      </c>
      <c r="Z13" s="53">
        <f t="shared" si="7"/>
        <v>4123</v>
      </c>
      <c r="AA13" s="53">
        <f t="shared" si="8"/>
        <v>0.22</v>
      </c>
      <c r="AB13" s="147">
        <f t="shared" si="9"/>
        <v>0</v>
      </c>
      <c r="AC13" s="53"/>
    </row>
    <row r="14" customHeight="1" outlineLevel="1" spans="1:29">
      <c r="A14" s="43">
        <v>10</v>
      </c>
      <c r="B14" s="43"/>
      <c r="C14" s="43" t="s">
        <v>78</v>
      </c>
      <c r="D14" s="43" t="s">
        <v>69</v>
      </c>
      <c r="E14" s="43" t="s">
        <v>63</v>
      </c>
      <c r="F14" s="46" t="s">
        <v>70</v>
      </c>
      <c r="G14" s="43"/>
      <c r="H14" s="43">
        <f>IF(D14="GPS测量E级",VLOOKUP(E14,{"简单","2821";"中等","3203";"复杂","4123"},2,0))+IF(D14="GPS测量D级",VLOOKUP(E14,{"简单","3198";"中等","3632";"复杂","4671"},2,0))+IF(D14="GPS测量C级",VLOOKUP(E14,{"简单","3727";"中等","4274";"复杂","5500"},2,0))</f>
        <v>4123</v>
      </c>
      <c r="I14" s="43">
        <v>0.6</v>
      </c>
      <c r="J14" s="55">
        <f t="shared" si="10"/>
        <v>0</v>
      </c>
      <c r="K14" s="46">
        <v>0.22</v>
      </c>
      <c r="L14" s="55">
        <f t="shared" si="11"/>
        <v>0</v>
      </c>
      <c r="M14" s="125">
        <f t="shared" si="12"/>
        <v>0</v>
      </c>
      <c r="N14" s="53"/>
      <c r="O14" s="126" t="s">
        <v>66</v>
      </c>
      <c r="P14" s="128"/>
      <c r="Q14" s="128">
        <f t="shared" si="0"/>
        <v>0</v>
      </c>
      <c r="R14" s="128">
        <f t="shared" si="1"/>
        <v>0.6</v>
      </c>
      <c r="S14" s="128">
        <f t="shared" si="2"/>
        <v>4123</v>
      </c>
      <c r="T14" s="128">
        <f t="shared" si="3"/>
        <v>0.22</v>
      </c>
      <c r="U14" s="140">
        <f t="shared" si="4"/>
        <v>0</v>
      </c>
      <c r="V14" s="128"/>
      <c r="W14" s="53"/>
      <c r="X14" s="53">
        <f t="shared" si="5"/>
        <v>0</v>
      </c>
      <c r="Y14" s="53">
        <f t="shared" si="6"/>
        <v>0.6</v>
      </c>
      <c r="Z14" s="53">
        <f t="shared" si="7"/>
        <v>4123</v>
      </c>
      <c r="AA14" s="53">
        <f t="shared" si="8"/>
        <v>0.22</v>
      </c>
      <c r="AB14" s="147">
        <f t="shared" si="9"/>
        <v>0</v>
      </c>
      <c r="AC14" s="53"/>
    </row>
    <row r="15" customHeight="1" outlineLevel="1" spans="1:29">
      <c r="A15" s="43">
        <v>11</v>
      </c>
      <c r="B15" s="43"/>
      <c r="C15" s="43" t="s">
        <v>79</v>
      </c>
      <c r="D15" s="43" t="s">
        <v>69</v>
      </c>
      <c r="E15" s="43" t="s">
        <v>63</v>
      </c>
      <c r="F15" s="46" t="s">
        <v>70</v>
      </c>
      <c r="G15" s="43"/>
      <c r="H15" s="43">
        <f>IF(D15="GPS测量E级",VLOOKUP(E15,{"简单","2821";"中等","3203";"复杂","4123"},2,0))+IF(D15="GPS测量D级",VLOOKUP(E15,{"简单","3198";"中等","3632";"复杂","4671"},2,0))+IF(D15="GPS测量C级",VLOOKUP(E15,{"简单","3727";"中等","4274";"复杂","5500"},2,0))</f>
        <v>4123</v>
      </c>
      <c r="I15" s="43">
        <v>0.6</v>
      </c>
      <c r="J15" s="55">
        <f t="shared" si="10"/>
        <v>0</v>
      </c>
      <c r="K15" s="46">
        <v>0.22</v>
      </c>
      <c r="L15" s="55">
        <f t="shared" si="11"/>
        <v>0</v>
      </c>
      <c r="M15" s="125">
        <f t="shared" si="12"/>
        <v>0</v>
      </c>
      <c r="N15" s="53"/>
      <c r="O15" s="126" t="s">
        <v>66</v>
      </c>
      <c r="P15" s="128"/>
      <c r="Q15" s="128">
        <f t="shared" si="0"/>
        <v>0</v>
      </c>
      <c r="R15" s="128">
        <f t="shared" si="1"/>
        <v>0.6</v>
      </c>
      <c r="S15" s="128">
        <f t="shared" si="2"/>
        <v>4123</v>
      </c>
      <c r="T15" s="128">
        <f t="shared" si="3"/>
        <v>0.22</v>
      </c>
      <c r="U15" s="140">
        <f t="shared" si="4"/>
        <v>0</v>
      </c>
      <c r="V15" s="128"/>
      <c r="W15" s="53"/>
      <c r="X15" s="53">
        <f t="shared" si="5"/>
        <v>0</v>
      </c>
      <c r="Y15" s="53">
        <f t="shared" si="6"/>
        <v>0.6</v>
      </c>
      <c r="Z15" s="53">
        <f t="shared" si="7"/>
        <v>4123</v>
      </c>
      <c r="AA15" s="53">
        <f t="shared" si="8"/>
        <v>0.22</v>
      </c>
      <c r="AB15" s="147">
        <f t="shared" si="9"/>
        <v>0</v>
      </c>
      <c r="AC15" s="53"/>
    </row>
    <row r="16" customHeight="1" outlineLevel="1" spans="1:29">
      <c r="A16" s="43">
        <v>19</v>
      </c>
      <c r="B16" s="43" t="s">
        <v>80</v>
      </c>
      <c r="C16" s="43" t="s">
        <v>81</v>
      </c>
      <c r="D16" s="43" t="s">
        <v>67</v>
      </c>
      <c r="E16" s="45" t="s">
        <v>82</v>
      </c>
      <c r="F16" s="46" t="s">
        <v>83</v>
      </c>
      <c r="G16" s="65"/>
      <c r="H16" s="43" t="str">
        <f>VLOOKUP(D16,{"简单","6676";"中等","8901";"复杂","14244"},2,0)</f>
        <v>8901</v>
      </c>
      <c r="I16" s="43">
        <v>1.8</v>
      </c>
      <c r="J16" s="55">
        <f t="shared" ref="J16:J21" si="13">G16*I16*H16</f>
        <v>0</v>
      </c>
      <c r="K16" s="46">
        <v>0.22</v>
      </c>
      <c r="L16" s="55">
        <f t="shared" ref="L16:L21" si="14">J16*K16</f>
        <v>0</v>
      </c>
      <c r="M16" s="125">
        <f t="shared" ref="M16:M21" si="15">J16+L16</f>
        <v>0</v>
      </c>
      <c r="N16" s="87" t="s">
        <v>65</v>
      </c>
      <c r="O16" s="126" t="s">
        <v>84</v>
      </c>
      <c r="P16" s="128"/>
      <c r="Q16" s="128">
        <f t="shared" si="0"/>
        <v>0</v>
      </c>
      <c r="R16" s="128">
        <f t="shared" si="1"/>
        <v>1.8</v>
      </c>
      <c r="S16" s="128" t="str">
        <f t="shared" si="2"/>
        <v>8901</v>
      </c>
      <c r="T16" s="128">
        <f t="shared" si="3"/>
        <v>0.22</v>
      </c>
      <c r="U16" s="140">
        <f t="shared" si="4"/>
        <v>0</v>
      </c>
      <c r="V16" s="128"/>
      <c r="W16" s="53"/>
      <c r="X16" s="53">
        <f t="shared" si="5"/>
        <v>0</v>
      </c>
      <c r="Y16" s="53">
        <f t="shared" si="6"/>
        <v>1.8</v>
      </c>
      <c r="Z16" s="53" t="str">
        <f t="shared" si="7"/>
        <v>8901</v>
      </c>
      <c r="AA16" s="53">
        <f t="shared" si="8"/>
        <v>0.22</v>
      </c>
      <c r="AB16" s="147">
        <f t="shared" si="9"/>
        <v>0</v>
      </c>
      <c r="AC16" s="53"/>
    </row>
    <row r="17" customHeight="1" outlineLevel="1" spans="1:29">
      <c r="A17" s="43">
        <v>20</v>
      </c>
      <c r="B17" s="43"/>
      <c r="C17" s="43" t="s">
        <v>81</v>
      </c>
      <c r="D17" s="43" t="s">
        <v>63</v>
      </c>
      <c r="E17" s="45" t="s">
        <v>82</v>
      </c>
      <c r="F17" s="46" t="s">
        <v>83</v>
      </c>
      <c r="G17" s="65"/>
      <c r="H17" s="43" t="str">
        <f>VLOOKUP(D17,{"简单","6676";"中等","8901";"复杂","14244"},2,0)</f>
        <v>14244</v>
      </c>
      <c r="I17" s="43">
        <v>1.5</v>
      </c>
      <c r="J17" s="55">
        <f t="shared" si="13"/>
        <v>0</v>
      </c>
      <c r="K17" s="46">
        <v>0.22</v>
      </c>
      <c r="L17" s="55">
        <f t="shared" si="14"/>
        <v>0</v>
      </c>
      <c r="M17" s="125">
        <f t="shared" si="15"/>
        <v>0</v>
      </c>
      <c r="N17" s="87"/>
      <c r="O17" s="126" t="s">
        <v>85</v>
      </c>
      <c r="P17" s="128"/>
      <c r="Q17" s="128">
        <f t="shared" si="0"/>
        <v>0</v>
      </c>
      <c r="R17" s="128">
        <f t="shared" si="1"/>
        <v>1.5</v>
      </c>
      <c r="S17" s="128" t="str">
        <f t="shared" si="2"/>
        <v>14244</v>
      </c>
      <c r="T17" s="128">
        <f t="shared" si="3"/>
        <v>0.22</v>
      </c>
      <c r="U17" s="140">
        <f t="shared" si="4"/>
        <v>0</v>
      </c>
      <c r="V17" s="128"/>
      <c r="W17" s="53"/>
      <c r="X17" s="53">
        <f t="shared" si="5"/>
        <v>0</v>
      </c>
      <c r="Y17" s="53">
        <f t="shared" si="6"/>
        <v>1.5</v>
      </c>
      <c r="Z17" s="53" t="str">
        <f t="shared" si="7"/>
        <v>14244</v>
      </c>
      <c r="AA17" s="53">
        <f t="shared" si="8"/>
        <v>0.22</v>
      </c>
      <c r="AB17" s="147">
        <f t="shared" si="9"/>
        <v>0</v>
      </c>
      <c r="AC17" s="53"/>
    </row>
    <row r="18" customHeight="1" outlineLevel="1" spans="1:29">
      <c r="A18" s="43">
        <v>21</v>
      </c>
      <c r="B18" s="43"/>
      <c r="C18" s="43" t="s">
        <v>86</v>
      </c>
      <c r="D18" s="43" t="s">
        <v>67</v>
      </c>
      <c r="E18" s="45" t="s">
        <v>87</v>
      </c>
      <c r="F18" s="46" t="s">
        <v>83</v>
      </c>
      <c r="G18" s="65"/>
      <c r="H18" s="43" t="str">
        <f>VLOOKUP(D18,{"简单","33383";"中等","44510";"复杂","71216"},2,0)</f>
        <v>44510</v>
      </c>
      <c r="I18" s="43">
        <v>1.8</v>
      </c>
      <c r="J18" s="55">
        <f t="shared" si="13"/>
        <v>0</v>
      </c>
      <c r="K18" s="46">
        <v>0.22</v>
      </c>
      <c r="L18" s="55">
        <f t="shared" si="14"/>
        <v>0</v>
      </c>
      <c r="M18" s="125">
        <f t="shared" si="15"/>
        <v>0</v>
      </c>
      <c r="N18" s="87"/>
      <c r="O18" s="126" t="s">
        <v>85</v>
      </c>
      <c r="P18" s="128"/>
      <c r="Q18" s="128">
        <f t="shared" si="0"/>
        <v>0</v>
      </c>
      <c r="R18" s="128">
        <f t="shared" si="1"/>
        <v>1.8</v>
      </c>
      <c r="S18" s="128" t="str">
        <f t="shared" si="2"/>
        <v>44510</v>
      </c>
      <c r="T18" s="128">
        <f t="shared" si="3"/>
        <v>0.22</v>
      </c>
      <c r="U18" s="140">
        <f t="shared" si="4"/>
        <v>0</v>
      </c>
      <c r="V18" s="128"/>
      <c r="W18" s="53"/>
      <c r="X18" s="53">
        <f t="shared" si="5"/>
        <v>0</v>
      </c>
      <c r="Y18" s="53">
        <f t="shared" si="6"/>
        <v>1.8</v>
      </c>
      <c r="Z18" s="53" t="str">
        <f t="shared" si="7"/>
        <v>44510</v>
      </c>
      <c r="AA18" s="53">
        <f t="shared" si="8"/>
        <v>0.22</v>
      </c>
      <c r="AB18" s="147">
        <f t="shared" si="9"/>
        <v>0</v>
      </c>
      <c r="AC18" s="53"/>
    </row>
    <row r="19" customHeight="1" outlineLevel="1" spans="1:29">
      <c r="A19" s="43">
        <v>22</v>
      </c>
      <c r="B19" s="43"/>
      <c r="C19" s="43" t="s">
        <v>86</v>
      </c>
      <c r="D19" s="43" t="s">
        <v>63</v>
      </c>
      <c r="E19" s="45" t="s">
        <v>87</v>
      </c>
      <c r="F19" s="46" t="s">
        <v>83</v>
      </c>
      <c r="G19" s="65"/>
      <c r="H19" s="43" t="str">
        <f>VLOOKUP(D19,{"简单","33383";"中等","44510";"复杂","71216"},2,0)</f>
        <v>71216</v>
      </c>
      <c r="I19" s="43">
        <v>1.5</v>
      </c>
      <c r="J19" s="55">
        <f t="shared" si="13"/>
        <v>0</v>
      </c>
      <c r="K19" s="46">
        <v>0.22</v>
      </c>
      <c r="L19" s="55">
        <f t="shared" si="14"/>
        <v>0</v>
      </c>
      <c r="M19" s="125">
        <f t="shared" si="15"/>
        <v>0</v>
      </c>
      <c r="N19" s="87"/>
      <c r="O19" s="126" t="s">
        <v>84</v>
      </c>
      <c r="P19" s="128"/>
      <c r="Q19" s="128">
        <f t="shared" si="0"/>
        <v>0</v>
      </c>
      <c r="R19" s="128">
        <f t="shared" si="1"/>
        <v>1.5</v>
      </c>
      <c r="S19" s="128" t="str">
        <f t="shared" si="2"/>
        <v>71216</v>
      </c>
      <c r="T19" s="128">
        <f t="shared" si="3"/>
        <v>0.22</v>
      </c>
      <c r="U19" s="140">
        <f t="shared" si="4"/>
        <v>0</v>
      </c>
      <c r="V19" s="128"/>
      <c r="W19" s="53"/>
      <c r="X19" s="53">
        <f t="shared" si="5"/>
        <v>0</v>
      </c>
      <c r="Y19" s="53">
        <f t="shared" si="6"/>
        <v>1.5</v>
      </c>
      <c r="Z19" s="53" t="str">
        <f t="shared" si="7"/>
        <v>71216</v>
      </c>
      <c r="AA19" s="53">
        <f t="shared" si="8"/>
        <v>0.22</v>
      </c>
      <c r="AB19" s="147">
        <f t="shared" si="9"/>
        <v>0</v>
      </c>
      <c r="AC19" s="53"/>
    </row>
    <row r="20" customHeight="1" outlineLevel="1" spans="1:29">
      <c r="A20" s="43">
        <v>23</v>
      </c>
      <c r="B20" s="43"/>
      <c r="C20" s="43" t="s">
        <v>88</v>
      </c>
      <c r="D20" s="43" t="s">
        <v>67</v>
      </c>
      <c r="E20" s="45" t="s">
        <v>89</v>
      </c>
      <c r="F20" s="46" t="s">
        <v>83</v>
      </c>
      <c r="G20" s="65"/>
      <c r="H20" s="43" t="str">
        <f>VLOOKUP(D20,{"简单","15174";"中等","20232";"复杂","32374"},2,0)</f>
        <v>20232</v>
      </c>
      <c r="I20" s="43">
        <v>1.5</v>
      </c>
      <c r="J20" s="55">
        <f t="shared" si="13"/>
        <v>0</v>
      </c>
      <c r="K20" s="46">
        <v>0.22</v>
      </c>
      <c r="L20" s="55">
        <f t="shared" si="14"/>
        <v>0</v>
      </c>
      <c r="M20" s="125">
        <f t="shared" si="15"/>
        <v>0</v>
      </c>
      <c r="N20" s="87"/>
      <c r="O20" s="126" t="s">
        <v>85</v>
      </c>
      <c r="P20" s="128"/>
      <c r="Q20" s="128">
        <f t="shared" si="0"/>
        <v>0</v>
      </c>
      <c r="R20" s="128">
        <f t="shared" si="1"/>
        <v>1.5</v>
      </c>
      <c r="S20" s="128" t="str">
        <f t="shared" si="2"/>
        <v>20232</v>
      </c>
      <c r="T20" s="128">
        <f t="shared" si="3"/>
        <v>0.22</v>
      </c>
      <c r="U20" s="140">
        <f t="shared" si="4"/>
        <v>0</v>
      </c>
      <c r="V20" s="128"/>
      <c r="W20" s="53"/>
      <c r="X20" s="53">
        <f t="shared" si="5"/>
        <v>0</v>
      </c>
      <c r="Y20" s="53">
        <f t="shared" si="6"/>
        <v>1.5</v>
      </c>
      <c r="Z20" s="53" t="str">
        <f t="shared" si="7"/>
        <v>20232</v>
      </c>
      <c r="AA20" s="53">
        <f t="shared" si="8"/>
        <v>0.22</v>
      </c>
      <c r="AB20" s="147">
        <f t="shared" si="9"/>
        <v>0</v>
      </c>
      <c r="AC20" s="53"/>
    </row>
    <row r="21" customHeight="1" outlineLevel="1" spans="1:29">
      <c r="A21" s="43">
        <v>24</v>
      </c>
      <c r="B21" s="43"/>
      <c r="C21" s="43" t="s">
        <v>90</v>
      </c>
      <c r="D21" s="43" t="s">
        <v>67</v>
      </c>
      <c r="E21" s="45" t="s">
        <v>89</v>
      </c>
      <c r="F21" s="46" t="s">
        <v>83</v>
      </c>
      <c r="G21" s="43"/>
      <c r="H21" s="43" t="str">
        <f>VLOOKUP(D21,{"简单","40464";"中等","53817";"复杂","75680"},2,0)</f>
        <v>53817</v>
      </c>
      <c r="I21" s="43">
        <v>1.5</v>
      </c>
      <c r="J21" s="55">
        <f t="shared" si="13"/>
        <v>0</v>
      </c>
      <c r="K21" s="46">
        <v>0.22</v>
      </c>
      <c r="L21" s="55">
        <f t="shared" si="14"/>
        <v>0</v>
      </c>
      <c r="M21" s="125">
        <f t="shared" si="15"/>
        <v>0</v>
      </c>
      <c r="N21" s="87" t="s">
        <v>91</v>
      </c>
      <c r="O21" s="126" t="s">
        <v>85</v>
      </c>
      <c r="P21" s="128"/>
      <c r="Q21" s="128">
        <f t="shared" si="0"/>
        <v>0</v>
      </c>
      <c r="R21" s="128">
        <f t="shared" si="1"/>
        <v>1.5</v>
      </c>
      <c r="S21" s="128" t="str">
        <f t="shared" si="2"/>
        <v>53817</v>
      </c>
      <c r="T21" s="128">
        <f t="shared" si="3"/>
        <v>0.22</v>
      </c>
      <c r="U21" s="140">
        <f t="shared" si="4"/>
        <v>0</v>
      </c>
      <c r="V21" s="128"/>
      <c r="W21" s="53"/>
      <c r="X21" s="53">
        <f t="shared" si="5"/>
        <v>0</v>
      </c>
      <c r="Y21" s="53">
        <f t="shared" si="6"/>
        <v>1.5</v>
      </c>
      <c r="Z21" s="53" t="str">
        <f t="shared" si="7"/>
        <v>53817</v>
      </c>
      <c r="AA21" s="53">
        <f t="shared" si="8"/>
        <v>0.22</v>
      </c>
      <c r="AB21" s="147">
        <f t="shared" si="9"/>
        <v>0</v>
      </c>
      <c r="AC21" s="53"/>
    </row>
    <row r="22" customHeight="1" outlineLevel="1" spans="1:29">
      <c r="A22" s="43">
        <v>25</v>
      </c>
      <c r="B22" s="43"/>
      <c r="C22" s="43" t="s">
        <v>92</v>
      </c>
      <c r="D22" s="43" t="s">
        <v>63</v>
      </c>
      <c r="E22" s="45" t="s">
        <v>89</v>
      </c>
      <c r="F22" s="46" t="s">
        <v>83</v>
      </c>
      <c r="G22" s="43"/>
      <c r="H22" s="43" t="str">
        <f>VLOOKUP(D22,{"简单","15174";"中等","20232";"复杂","32374"},2,0)</f>
        <v>32374</v>
      </c>
      <c r="I22" s="43">
        <v>1.5</v>
      </c>
      <c r="J22" s="55">
        <f t="shared" ref="J22:J27" si="16">G22*I22*H22</f>
        <v>0</v>
      </c>
      <c r="K22" s="46">
        <v>0.22</v>
      </c>
      <c r="L22" s="55">
        <f t="shared" ref="L22:L27" si="17">J22*K22</f>
        <v>0</v>
      </c>
      <c r="M22" s="125">
        <f t="shared" ref="M22:M27" si="18">J22+L22</f>
        <v>0</v>
      </c>
      <c r="N22" s="87" t="s">
        <v>93</v>
      </c>
      <c r="O22" s="126" t="s">
        <v>85</v>
      </c>
      <c r="P22" s="128"/>
      <c r="Q22" s="128">
        <f t="shared" si="0"/>
        <v>0</v>
      </c>
      <c r="R22" s="128">
        <f t="shared" si="1"/>
        <v>1.5</v>
      </c>
      <c r="S22" s="128" t="str">
        <f t="shared" si="2"/>
        <v>32374</v>
      </c>
      <c r="T22" s="128">
        <f t="shared" si="3"/>
        <v>0.22</v>
      </c>
      <c r="U22" s="140">
        <f t="shared" si="4"/>
        <v>0</v>
      </c>
      <c r="V22" s="128"/>
      <c r="W22" s="53"/>
      <c r="X22" s="53">
        <f t="shared" si="5"/>
        <v>0</v>
      </c>
      <c r="Y22" s="53">
        <f t="shared" si="6"/>
        <v>1.5</v>
      </c>
      <c r="Z22" s="53" t="str">
        <f t="shared" si="7"/>
        <v>32374</v>
      </c>
      <c r="AA22" s="53">
        <f t="shared" si="8"/>
        <v>0.22</v>
      </c>
      <c r="AB22" s="147">
        <f t="shared" si="9"/>
        <v>0</v>
      </c>
      <c r="AC22" s="53"/>
    </row>
    <row r="23" customHeight="1" outlineLevel="1" spans="1:29">
      <c r="A23" s="43">
        <v>26</v>
      </c>
      <c r="B23" s="43"/>
      <c r="C23" s="53" t="s">
        <v>94</v>
      </c>
      <c r="D23" s="53" t="s">
        <v>63</v>
      </c>
      <c r="E23" s="45" t="s">
        <v>89</v>
      </c>
      <c r="F23" s="46" t="s">
        <v>83</v>
      </c>
      <c r="G23" s="43"/>
      <c r="H23" s="43" t="str">
        <f>VLOOKUP(D23,{"简单","15174";"中等","20232";"复杂","32374"},2,0)</f>
        <v>32374</v>
      </c>
      <c r="I23" s="43">
        <v>1.8</v>
      </c>
      <c r="J23" s="55">
        <f t="shared" si="16"/>
        <v>0</v>
      </c>
      <c r="K23" s="46">
        <v>0.22</v>
      </c>
      <c r="L23" s="55">
        <f t="shared" si="17"/>
        <v>0</v>
      </c>
      <c r="M23" s="125">
        <f t="shared" si="18"/>
        <v>0</v>
      </c>
      <c r="N23" s="87"/>
      <c r="O23" s="126" t="s">
        <v>84</v>
      </c>
      <c r="P23" s="128"/>
      <c r="Q23" s="128">
        <f t="shared" si="0"/>
        <v>0</v>
      </c>
      <c r="R23" s="128">
        <f t="shared" si="1"/>
        <v>1.8</v>
      </c>
      <c r="S23" s="128" t="str">
        <f t="shared" si="2"/>
        <v>32374</v>
      </c>
      <c r="T23" s="128">
        <f t="shared" si="3"/>
        <v>0.22</v>
      </c>
      <c r="U23" s="140">
        <f t="shared" si="4"/>
        <v>0</v>
      </c>
      <c r="V23" s="128"/>
      <c r="W23" s="53"/>
      <c r="X23" s="53">
        <f t="shared" si="5"/>
        <v>0</v>
      </c>
      <c r="Y23" s="53">
        <f t="shared" si="6"/>
        <v>1.8</v>
      </c>
      <c r="Z23" s="53" t="str">
        <f t="shared" si="7"/>
        <v>32374</v>
      </c>
      <c r="AA23" s="53">
        <f t="shared" si="8"/>
        <v>0.22</v>
      </c>
      <c r="AB23" s="147">
        <f t="shared" si="9"/>
        <v>0</v>
      </c>
      <c r="AC23" s="53"/>
    </row>
    <row r="24" customHeight="1" outlineLevel="1" spans="1:29">
      <c r="A24" s="43">
        <v>27</v>
      </c>
      <c r="B24" s="43"/>
      <c r="C24" s="43" t="s">
        <v>95</v>
      </c>
      <c r="D24" s="43" t="s">
        <v>63</v>
      </c>
      <c r="E24" s="45" t="s">
        <v>87</v>
      </c>
      <c r="F24" s="46" t="s">
        <v>83</v>
      </c>
      <c r="G24" s="43">
        <v>0.25</v>
      </c>
      <c r="H24" s="43" t="str">
        <f>VLOOKUP(D24,{"简单","33383";"中等","44510";"复杂","71216"},2,0)</f>
        <v>71216</v>
      </c>
      <c r="I24" s="43">
        <v>1.8</v>
      </c>
      <c r="J24" s="55">
        <f t="shared" si="16"/>
        <v>32047.2</v>
      </c>
      <c r="K24" s="46">
        <v>0.22</v>
      </c>
      <c r="L24" s="55">
        <f t="shared" si="17"/>
        <v>7050.384</v>
      </c>
      <c r="M24" s="125">
        <f t="shared" si="18"/>
        <v>39097.584</v>
      </c>
      <c r="N24" s="87"/>
      <c r="O24" s="126" t="s">
        <v>85</v>
      </c>
      <c r="P24" s="128"/>
      <c r="Q24" s="128">
        <f t="shared" si="0"/>
        <v>0.25</v>
      </c>
      <c r="R24" s="128">
        <f t="shared" si="1"/>
        <v>1.8</v>
      </c>
      <c r="S24" s="128" t="str">
        <f t="shared" si="2"/>
        <v>71216</v>
      </c>
      <c r="T24" s="128">
        <f t="shared" si="3"/>
        <v>0.22</v>
      </c>
      <c r="U24" s="140">
        <f t="shared" si="4"/>
        <v>39097.584</v>
      </c>
      <c r="V24" s="128"/>
      <c r="W24" s="53"/>
      <c r="X24" s="53">
        <f t="shared" si="5"/>
        <v>0.25</v>
      </c>
      <c r="Y24" s="53">
        <f t="shared" si="6"/>
        <v>1.8</v>
      </c>
      <c r="Z24" s="53" t="str">
        <f t="shared" si="7"/>
        <v>71216</v>
      </c>
      <c r="AA24" s="53">
        <f t="shared" si="8"/>
        <v>0.22</v>
      </c>
      <c r="AB24" s="147">
        <f t="shared" si="9"/>
        <v>39097.584</v>
      </c>
      <c r="AC24" s="53"/>
    </row>
    <row r="25" customHeight="1" outlineLevel="1" spans="1:29">
      <c r="A25" s="43">
        <v>28</v>
      </c>
      <c r="B25" s="43"/>
      <c r="C25" s="43" t="s">
        <v>96</v>
      </c>
      <c r="D25" s="43" t="s">
        <v>67</v>
      </c>
      <c r="E25" s="45" t="s">
        <v>82</v>
      </c>
      <c r="F25" s="46" t="s">
        <v>83</v>
      </c>
      <c r="G25" s="43">
        <v>1.44</v>
      </c>
      <c r="H25" s="43" t="str">
        <f>VLOOKUP(D25,{"简单","6676";"中等","8901";"复杂","14244"},2,0)</f>
        <v>8901</v>
      </c>
      <c r="I25" s="43">
        <v>1.8</v>
      </c>
      <c r="J25" s="55">
        <f t="shared" si="16"/>
        <v>23071.392</v>
      </c>
      <c r="K25" s="46">
        <v>0.22</v>
      </c>
      <c r="L25" s="55">
        <f t="shared" si="17"/>
        <v>5075.70624</v>
      </c>
      <c r="M25" s="125">
        <f t="shared" si="18"/>
        <v>28147.09824</v>
      </c>
      <c r="N25" s="87"/>
      <c r="O25" s="126" t="s">
        <v>85</v>
      </c>
      <c r="P25" s="128"/>
      <c r="Q25" s="128">
        <f t="shared" si="0"/>
        <v>1.44</v>
      </c>
      <c r="R25" s="128">
        <f t="shared" si="1"/>
        <v>1.8</v>
      </c>
      <c r="S25" s="128" t="str">
        <f t="shared" si="2"/>
        <v>8901</v>
      </c>
      <c r="T25" s="128">
        <f t="shared" si="3"/>
        <v>0.22</v>
      </c>
      <c r="U25" s="140">
        <f t="shared" si="4"/>
        <v>28147.09824</v>
      </c>
      <c r="V25" s="128"/>
      <c r="W25" s="53"/>
      <c r="X25" s="53">
        <f t="shared" si="5"/>
        <v>1.44</v>
      </c>
      <c r="Y25" s="53">
        <f t="shared" si="6"/>
        <v>1.8</v>
      </c>
      <c r="Z25" s="53" t="str">
        <f t="shared" si="7"/>
        <v>8901</v>
      </c>
      <c r="AA25" s="53">
        <f t="shared" si="8"/>
        <v>0.22</v>
      </c>
      <c r="AB25" s="147">
        <f t="shared" si="9"/>
        <v>28147.09824</v>
      </c>
      <c r="AC25" s="53"/>
    </row>
    <row r="26" customHeight="1" outlineLevel="1" spans="1:29">
      <c r="A26" s="43">
        <v>29</v>
      </c>
      <c r="B26" s="43"/>
      <c r="C26" s="43" t="s">
        <v>97</v>
      </c>
      <c r="D26" s="43" t="s">
        <v>63</v>
      </c>
      <c r="E26" s="45" t="s">
        <v>87</v>
      </c>
      <c r="F26" s="46" t="s">
        <v>83</v>
      </c>
      <c r="G26" s="43">
        <v>0.09</v>
      </c>
      <c r="H26" s="43" t="str">
        <f>VLOOKUP(D26,{"简单","33383";"中等","44510";"复杂","71216"},2,0)</f>
        <v>71216</v>
      </c>
      <c r="I26" s="43">
        <v>1.8</v>
      </c>
      <c r="J26" s="55">
        <f t="shared" si="16"/>
        <v>11536.992</v>
      </c>
      <c r="K26" s="46">
        <v>0.22</v>
      </c>
      <c r="L26" s="55">
        <f t="shared" si="17"/>
        <v>2538.13824</v>
      </c>
      <c r="M26" s="125">
        <f t="shared" si="18"/>
        <v>14075.13024</v>
      </c>
      <c r="N26" s="87"/>
      <c r="O26" s="126" t="s">
        <v>85</v>
      </c>
      <c r="P26" s="128"/>
      <c r="Q26" s="128">
        <f t="shared" si="0"/>
        <v>0.09</v>
      </c>
      <c r="R26" s="128">
        <f t="shared" si="1"/>
        <v>1.8</v>
      </c>
      <c r="S26" s="128" t="str">
        <f t="shared" si="2"/>
        <v>71216</v>
      </c>
      <c r="T26" s="128">
        <f t="shared" si="3"/>
        <v>0.22</v>
      </c>
      <c r="U26" s="140">
        <f t="shared" si="4"/>
        <v>14075.13024</v>
      </c>
      <c r="V26" s="128"/>
      <c r="W26" s="53"/>
      <c r="X26" s="53">
        <f t="shared" si="5"/>
        <v>0.09</v>
      </c>
      <c r="Y26" s="53">
        <f t="shared" si="6"/>
        <v>1.8</v>
      </c>
      <c r="Z26" s="53" t="str">
        <f t="shared" si="7"/>
        <v>71216</v>
      </c>
      <c r="AA26" s="53">
        <f t="shared" si="8"/>
        <v>0.22</v>
      </c>
      <c r="AB26" s="147">
        <f t="shared" si="9"/>
        <v>14075.13024</v>
      </c>
      <c r="AC26" s="53"/>
    </row>
    <row r="27" customHeight="1" outlineLevel="1" spans="1:29">
      <c r="A27" s="43">
        <v>30</v>
      </c>
      <c r="B27" s="43"/>
      <c r="C27" s="43" t="s">
        <v>97</v>
      </c>
      <c r="D27" s="43" t="s">
        <v>67</v>
      </c>
      <c r="E27" s="45" t="s">
        <v>87</v>
      </c>
      <c r="F27" s="46" t="s">
        <v>83</v>
      </c>
      <c r="G27" s="43"/>
      <c r="H27" s="43" t="str">
        <f>VLOOKUP(D27,{"简单","33383";"中等","44510";"复杂","71216"},2,0)</f>
        <v>44510</v>
      </c>
      <c r="I27" s="43">
        <v>1.5</v>
      </c>
      <c r="J27" s="55">
        <f t="shared" si="16"/>
        <v>0</v>
      </c>
      <c r="K27" s="46">
        <v>0.22</v>
      </c>
      <c r="L27" s="55">
        <f t="shared" si="17"/>
        <v>0</v>
      </c>
      <c r="M27" s="125">
        <f t="shared" si="18"/>
        <v>0</v>
      </c>
      <c r="N27" s="87"/>
      <c r="O27" s="126" t="s">
        <v>85</v>
      </c>
      <c r="P27" s="128"/>
      <c r="Q27" s="128">
        <f t="shared" si="0"/>
        <v>0</v>
      </c>
      <c r="R27" s="128">
        <f t="shared" si="1"/>
        <v>1.5</v>
      </c>
      <c r="S27" s="128" t="str">
        <f t="shared" si="2"/>
        <v>44510</v>
      </c>
      <c r="T27" s="128">
        <f t="shared" si="3"/>
        <v>0.22</v>
      </c>
      <c r="U27" s="140">
        <f t="shared" si="4"/>
        <v>0</v>
      </c>
      <c r="V27" s="128"/>
      <c r="W27" s="53"/>
      <c r="X27" s="53">
        <f t="shared" si="5"/>
        <v>0</v>
      </c>
      <c r="Y27" s="53">
        <f t="shared" si="6"/>
        <v>1.5</v>
      </c>
      <c r="Z27" s="53" t="str">
        <f t="shared" si="7"/>
        <v>44510</v>
      </c>
      <c r="AA27" s="53">
        <f t="shared" si="8"/>
        <v>0.22</v>
      </c>
      <c r="AB27" s="147">
        <f t="shared" si="9"/>
        <v>0</v>
      </c>
      <c r="AC27" s="53"/>
    </row>
    <row r="28" customHeight="1" outlineLevel="1" spans="1:29">
      <c r="A28" s="43">
        <v>31</v>
      </c>
      <c r="B28" s="43"/>
      <c r="C28" s="43" t="s">
        <v>98</v>
      </c>
      <c r="D28" s="43" t="s">
        <v>67</v>
      </c>
      <c r="E28" s="45" t="s">
        <v>87</v>
      </c>
      <c r="F28" s="46" t="s">
        <v>83</v>
      </c>
      <c r="G28" s="43"/>
      <c r="H28" s="43" t="str">
        <f>VLOOKUP(D28,{"简单","33383";"中等","44510";"复杂","71216"},2,0)</f>
        <v>44510</v>
      </c>
      <c r="I28" s="43">
        <v>1.5</v>
      </c>
      <c r="J28" s="55">
        <f t="shared" ref="J28:J39" si="19">G28*I28*H28</f>
        <v>0</v>
      </c>
      <c r="K28" s="46">
        <v>0.22</v>
      </c>
      <c r="L28" s="55">
        <f t="shared" ref="L28:L39" si="20">J28*K28</f>
        <v>0</v>
      </c>
      <c r="M28" s="125">
        <f t="shared" ref="M28:M39" si="21">J28+L28</f>
        <v>0</v>
      </c>
      <c r="N28" s="87"/>
      <c r="O28" s="126" t="s">
        <v>85</v>
      </c>
      <c r="P28" s="128"/>
      <c r="Q28" s="128">
        <f t="shared" si="0"/>
        <v>0</v>
      </c>
      <c r="R28" s="128">
        <f t="shared" si="1"/>
        <v>1.5</v>
      </c>
      <c r="S28" s="128" t="str">
        <f t="shared" si="2"/>
        <v>44510</v>
      </c>
      <c r="T28" s="128">
        <f t="shared" si="3"/>
        <v>0.22</v>
      </c>
      <c r="U28" s="140">
        <f t="shared" si="4"/>
        <v>0</v>
      </c>
      <c r="V28" s="128"/>
      <c r="W28" s="53"/>
      <c r="X28" s="53">
        <f t="shared" si="5"/>
        <v>0</v>
      </c>
      <c r="Y28" s="53">
        <f t="shared" si="6"/>
        <v>1.5</v>
      </c>
      <c r="Z28" s="53" t="str">
        <f t="shared" si="7"/>
        <v>44510</v>
      </c>
      <c r="AA28" s="53">
        <f t="shared" si="8"/>
        <v>0.22</v>
      </c>
      <c r="AB28" s="147">
        <f t="shared" si="9"/>
        <v>0</v>
      </c>
      <c r="AC28" s="53"/>
    </row>
    <row r="29" customHeight="1" outlineLevel="1" spans="1:29">
      <c r="A29" s="43">
        <v>32</v>
      </c>
      <c r="B29" s="43" t="s">
        <v>99</v>
      </c>
      <c r="C29" s="43" t="s">
        <v>100</v>
      </c>
      <c r="D29" s="43" t="s">
        <v>67</v>
      </c>
      <c r="E29" s="45" t="s">
        <v>82</v>
      </c>
      <c r="F29" s="46" t="s">
        <v>101</v>
      </c>
      <c r="G29" s="43"/>
      <c r="H29" s="43" t="str">
        <f>VLOOKUP(D29,{"简单","468";"中等","625";"复杂","860"},2,0)</f>
        <v>625</v>
      </c>
      <c r="I29" s="43">
        <v>1.5</v>
      </c>
      <c r="J29" s="55">
        <f t="shared" si="19"/>
        <v>0</v>
      </c>
      <c r="K29" s="46">
        <v>0.22</v>
      </c>
      <c r="L29" s="55">
        <f t="shared" si="20"/>
        <v>0</v>
      </c>
      <c r="M29" s="125">
        <f t="shared" si="21"/>
        <v>0</v>
      </c>
      <c r="N29" s="87"/>
      <c r="O29" s="126" t="s">
        <v>102</v>
      </c>
      <c r="P29" s="128"/>
      <c r="Q29" s="128">
        <f t="shared" si="0"/>
        <v>0</v>
      </c>
      <c r="R29" s="128">
        <f t="shared" si="1"/>
        <v>1.5</v>
      </c>
      <c r="S29" s="128" t="str">
        <f t="shared" si="2"/>
        <v>625</v>
      </c>
      <c r="T29" s="128">
        <f t="shared" si="3"/>
        <v>0.22</v>
      </c>
      <c r="U29" s="140">
        <f t="shared" si="4"/>
        <v>0</v>
      </c>
      <c r="V29" s="128"/>
      <c r="W29" s="53"/>
      <c r="X29" s="53">
        <f t="shared" si="5"/>
        <v>0</v>
      </c>
      <c r="Y29" s="53">
        <f t="shared" si="6"/>
        <v>1.5</v>
      </c>
      <c r="Z29" s="53" t="str">
        <f t="shared" si="7"/>
        <v>625</v>
      </c>
      <c r="AA29" s="53">
        <f t="shared" si="8"/>
        <v>0.22</v>
      </c>
      <c r="AB29" s="147">
        <f t="shared" si="9"/>
        <v>0</v>
      </c>
      <c r="AC29" s="53"/>
    </row>
    <row r="30" customHeight="1" outlineLevel="1" spans="1:29">
      <c r="A30" s="43">
        <v>33</v>
      </c>
      <c r="B30" s="43"/>
      <c r="C30" s="43" t="s">
        <v>81</v>
      </c>
      <c r="D30" s="43" t="s">
        <v>63</v>
      </c>
      <c r="E30" s="45" t="s">
        <v>82</v>
      </c>
      <c r="F30" s="46" t="s">
        <v>101</v>
      </c>
      <c r="G30" s="43"/>
      <c r="H30" s="43" t="str">
        <f>VLOOKUP(D30,{"简单","468";"中等","625";"复杂","860"},2,0)</f>
        <v>860</v>
      </c>
      <c r="I30" s="43">
        <v>1.5</v>
      </c>
      <c r="J30" s="55">
        <f t="shared" si="19"/>
        <v>0</v>
      </c>
      <c r="K30" s="46">
        <v>0.22</v>
      </c>
      <c r="L30" s="55">
        <f t="shared" si="20"/>
        <v>0</v>
      </c>
      <c r="M30" s="125">
        <f t="shared" si="21"/>
        <v>0</v>
      </c>
      <c r="N30" s="87"/>
      <c r="O30" s="126" t="s">
        <v>102</v>
      </c>
      <c r="P30" s="128"/>
      <c r="Q30" s="128">
        <f t="shared" si="0"/>
        <v>0</v>
      </c>
      <c r="R30" s="128">
        <f t="shared" si="1"/>
        <v>1.5</v>
      </c>
      <c r="S30" s="128" t="str">
        <f t="shared" si="2"/>
        <v>860</v>
      </c>
      <c r="T30" s="128">
        <f t="shared" si="3"/>
        <v>0.22</v>
      </c>
      <c r="U30" s="140">
        <f t="shared" si="4"/>
        <v>0</v>
      </c>
      <c r="V30" s="128"/>
      <c r="W30" s="53"/>
      <c r="X30" s="53">
        <f t="shared" si="5"/>
        <v>0</v>
      </c>
      <c r="Y30" s="53">
        <f t="shared" si="6"/>
        <v>1.5</v>
      </c>
      <c r="Z30" s="53" t="str">
        <f t="shared" si="7"/>
        <v>860</v>
      </c>
      <c r="AA30" s="53">
        <f t="shared" si="8"/>
        <v>0.22</v>
      </c>
      <c r="AB30" s="147">
        <f t="shared" si="9"/>
        <v>0</v>
      </c>
      <c r="AC30" s="53"/>
    </row>
    <row r="31" customHeight="1" outlineLevel="1" spans="1:29">
      <c r="A31" s="43">
        <v>34</v>
      </c>
      <c r="B31" s="43"/>
      <c r="C31" s="43" t="s">
        <v>103</v>
      </c>
      <c r="D31" s="43" t="s">
        <v>63</v>
      </c>
      <c r="E31" s="45" t="s">
        <v>87</v>
      </c>
      <c r="F31" s="46" t="s">
        <v>101</v>
      </c>
      <c r="G31" s="43"/>
      <c r="H31" s="43" t="str">
        <f>VLOOKUP(D31,{"简单","785";"中等","1047";"复杂","1440"},2,0)</f>
        <v>1440</v>
      </c>
      <c r="I31" s="43">
        <v>1.5</v>
      </c>
      <c r="J31" s="55">
        <f t="shared" si="19"/>
        <v>0</v>
      </c>
      <c r="K31" s="46">
        <v>0.22</v>
      </c>
      <c r="L31" s="55">
        <f t="shared" si="20"/>
        <v>0</v>
      </c>
      <c r="M31" s="125">
        <f t="shared" si="21"/>
        <v>0</v>
      </c>
      <c r="N31" s="87"/>
      <c r="O31" s="126" t="s">
        <v>102</v>
      </c>
      <c r="P31" s="128"/>
      <c r="Q31" s="128">
        <f t="shared" si="0"/>
        <v>0</v>
      </c>
      <c r="R31" s="128">
        <f t="shared" si="1"/>
        <v>1.5</v>
      </c>
      <c r="S31" s="128" t="str">
        <f t="shared" si="2"/>
        <v>1440</v>
      </c>
      <c r="T31" s="128">
        <f t="shared" si="3"/>
        <v>0.22</v>
      </c>
      <c r="U31" s="140">
        <f t="shared" si="4"/>
        <v>0</v>
      </c>
      <c r="V31" s="128"/>
      <c r="W31" s="53"/>
      <c r="X31" s="53">
        <f t="shared" si="5"/>
        <v>0</v>
      </c>
      <c r="Y31" s="53">
        <f t="shared" si="6"/>
        <v>1.5</v>
      </c>
      <c r="Z31" s="53" t="str">
        <f t="shared" si="7"/>
        <v>1440</v>
      </c>
      <c r="AA31" s="53">
        <f t="shared" si="8"/>
        <v>0.22</v>
      </c>
      <c r="AB31" s="147">
        <f t="shared" si="9"/>
        <v>0</v>
      </c>
      <c r="AC31" s="53"/>
    </row>
    <row r="32" customHeight="1" outlineLevel="1" spans="1:29">
      <c r="A32" s="43">
        <v>35</v>
      </c>
      <c r="B32" s="43"/>
      <c r="C32" s="43" t="s">
        <v>88</v>
      </c>
      <c r="D32" s="43" t="s">
        <v>67</v>
      </c>
      <c r="E32" s="45" t="s">
        <v>89</v>
      </c>
      <c r="F32" s="45" t="s">
        <v>101</v>
      </c>
      <c r="G32" s="43"/>
      <c r="H32" s="43" t="str">
        <f>VLOOKUP(D32,{"简单","607";"中等","809";"复杂","1113"},2,0)</f>
        <v>809</v>
      </c>
      <c r="I32" s="43">
        <v>1.3</v>
      </c>
      <c r="J32" s="55">
        <f t="shared" si="19"/>
        <v>0</v>
      </c>
      <c r="K32" s="46">
        <v>0.22</v>
      </c>
      <c r="L32" s="55">
        <f t="shared" si="20"/>
        <v>0</v>
      </c>
      <c r="M32" s="125">
        <f t="shared" si="21"/>
        <v>0</v>
      </c>
      <c r="N32" s="87"/>
      <c r="O32" s="126" t="s">
        <v>102</v>
      </c>
      <c r="P32" s="128"/>
      <c r="Q32" s="128">
        <f t="shared" si="0"/>
        <v>0</v>
      </c>
      <c r="R32" s="128">
        <f t="shared" si="1"/>
        <v>1.3</v>
      </c>
      <c r="S32" s="128" t="str">
        <f t="shared" si="2"/>
        <v>809</v>
      </c>
      <c r="T32" s="128">
        <f t="shared" si="3"/>
        <v>0.22</v>
      </c>
      <c r="U32" s="140">
        <f t="shared" si="4"/>
        <v>0</v>
      </c>
      <c r="V32" s="128"/>
      <c r="W32" s="53"/>
      <c r="X32" s="53">
        <f t="shared" si="5"/>
        <v>0</v>
      </c>
      <c r="Y32" s="53">
        <f t="shared" si="6"/>
        <v>1.3</v>
      </c>
      <c r="Z32" s="53" t="str">
        <f t="shared" si="7"/>
        <v>809</v>
      </c>
      <c r="AA32" s="53">
        <f t="shared" si="8"/>
        <v>0.22</v>
      </c>
      <c r="AB32" s="147">
        <f t="shared" si="9"/>
        <v>0</v>
      </c>
      <c r="AC32" s="53"/>
    </row>
    <row r="33" customHeight="1" outlineLevel="1" spans="1:29">
      <c r="A33" s="43">
        <v>36</v>
      </c>
      <c r="B33" s="43"/>
      <c r="C33" s="43" t="s">
        <v>90</v>
      </c>
      <c r="D33" s="43" t="s">
        <v>67</v>
      </c>
      <c r="E33" s="45" t="s">
        <v>89</v>
      </c>
      <c r="F33" s="45" t="s">
        <v>101</v>
      </c>
      <c r="G33" s="43"/>
      <c r="H33" s="43" t="str">
        <f>VLOOKUP(D33,{"简单","2023";"中等","2698";"复杂","4046"},2,0)</f>
        <v>2698</v>
      </c>
      <c r="I33" s="43">
        <v>1</v>
      </c>
      <c r="J33" s="55">
        <f t="shared" si="19"/>
        <v>0</v>
      </c>
      <c r="K33" s="46">
        <v>0.22</v>
      </c>
      <c r="L33" s="55">
        <f t="shared" si="20"/>
        <v>0</v>
      </c>
      <c r="M33" s="125">
        <f t="shared" si="21"/>
        <v>0</v>
      </c>
      <c r="N33" s="53" t="s">
        <v>104</v>
      </c>
      <c r="O33" s="126" t="s">
        <v>102</v>
      </c>
      <c r="P33" s="128"/>
      <c r="Q33" s="128">
        <f t="shared" si="0"/>
        <v>0</v>
      </c>
      <c r="R33" s="128">
        <f t="shared" si="1"/>
        <v>1</v>
      </c>
      <c r="S33" s="128" t="str">
        <f t="shared" si="2"/>
        <v>2698</v>
      </c>
      <c r="T33" s="128">
        <f t="shared" si="3"/>
        <v>0.22</v>
      </c>
      <c r="U33" s="140">
        <f t="shared" si="4"/>
        <v>0</v>
      </c>
      <c r="V33" s="128"/>
      <c r="W33" s="53"/>
      <c r="X33" s="53">
        <f t="shared" si="5"/>
        <v>0</v>
      </c>
      <c r="Y33" s="53">
        <f t="shared" si="6"/>
        <v>1</v>
      </c>
      <c r="Z33" s="53" t="str">
        <f t="shared" si="7"/>
        <v>2698</v>
      </c>
      <c r="AA33" s="53">
        <f t="shared" si="8"/>
        <v>0.22</v>
      </c>
      <c r="AB33" s="147">
        <f t="shared" si="9"/>
        <v>0</v>
      </c>
      <c r="AC33" s="53"/>
    </row>
    <row r="34" customHeight="1" outlineLevel="1" spans="1:29">
      <c r="A34" s="43">
        <v>37</v>
      </c>
      <c r="B34" s="43"/>
      <c r="C34" s="43" t="s">
        <v>92</v>
      </c>
      <c r="D34" s="43" t="s">
        <v>67</v>
      </c>
      <c r="E34" s="45" t="s">
        <v>89</v>
      </c>
      <c r="F34" s="45" t="s">
        <v>101</v>
      </c>
      <c r="G34" s="43"/>
      <c r="H34" s="43" t="str">
        <f>VLOOKUP(D34,{"简单","607";"中等","809";"复杂","1113"},2,0)</f>
        <v>809</v>
      </c>
      <c r="I34" s="43">
        <v>1.5</v>
      </c>
      <c r="J34" s="55">
        <f t="shared" si="19"/>
        <v>0</v>
      </c>
      <c r="K34" s="46">
        <v>0.22</v>
      </c>
      <c r="L34" s="55">
        <f t="shared" si="20"/>
        <v>0</v>
      </c>
      <c r="M34" s="125">
        <f t="shared" si="21"/>
        <v>0</v>
      </c>
      <c r="N34" s="53" t="s">
        <v>93</v>
      </c>
      <c r="O34" s="126" t="s">
        <v>102</v>
      </c>
      <c r="P34" s="128"/>
      <c r="Q34" s="128">
        <f t="shared" si="0"/>
        <v>0</v>
      </c>
      <c r="R34" s="128">
        <f t="shared" si="1"/>
        <v>1.5</v>
      </c>
      <c r="S34" s="128" t="str">
        <f t="shared" si="2"/>
        <v>809</v>
      </c>
      <c r="T34" s="128">
        <f t="shared" si="3"/>
        <v>0.22</v>
      </c>
      <c r="U34" s="140">
        <f t="shared" si="4"/>
        <v>0</v>
      </c>
      <c r="V34" s="128"/>
      <c r="W34" s="53"/>
      <c r="X34" s="53">
        <f t="shared" si="5"/>
        <v>0</v>
      </c>
      <c r="Y34" s="53">
        <f t="shared" si="6"/>
        <v>1.5</v>
      </c>
      <c r="Z34" s="53" t="str">
        <f t="shared" si="7"/>
        <v>809</v>
      </c>
      <c r="AA34" s="53">
        <f t="shared" si="8"/>
        <v>0.22</v>
      </c>
      <c r="AB34" s="147">
        <f t="shared" si="9"/>
        <v>0</v>
      </c>
      <c r="AC34" s="53"/>
    </row>
    <row r="35" customHeight="1" outlineLevel="1" spans="1:29">
      <c r="A35" s="43">
        <v>38</v>
      </c>
      <c r="B35" s="43"/>
      <c r="C35" s="53" t="s">
        <v>94</v>
      </c>
      <c r="D35" s="53" t="s">
        <v>63</v>
      </c>
      <c r="E35" s="45" t="s">
        <v>89</v>
      </c>
      <c r="F35" s="46" t="s">
        <v>101</v>
      </c>
      <c r="G35" s="43"/>
      <c r="H35" s="43" t="str">
        <f>VLOOKUP(D35,{"简单","607";"中等","809";"复杂","1113"},2,0)</f>
        <v>1113</v>
      </c>
      <c r="I35" s="43">
        <v>1.5</v>
      </c>
      <c r="J35" s="55">
        <f t="shared" si="19"/>
        <v>0</v>
      </c>
      <c r="K35" s="46">
        <v>0.22</v>
      </c>
      <c r="L35" s="55">
        <f t="shared" si="20"/>
        <v>0</v>
      </c>
      <c r="M35" s="125">
        <f t="shared" si="21"/>
        <v>0</v>
      </c>
      <c r="N35" s="53"/>
      <c r="O35" s="126" t="s">
        <v>102</v>
      </c>
      <c r="P35" s="128"/>
      <c r="Q35" s="128">
        <f t="shared" si="0"/>
        <v>0</v>
      </c>
      <c r="R35" s="128">
        <f t="shared" si="1"/>
        <v>1.5</v>
      </c>
      <c r="S35" s="128" t="str">
        <f t="shared" si="2"/>
        <v>1113</v>
      </c>
      <c r="T35" s="128">
        <f t="shared" si="3"/>
        <v>0.22</v>
      </c>
      <c r="U35" s="140">
        <f t="shared" si="4"/>
        <v>0</v>
      </c>
      <c r="V35" s="128"/>
      <c r="W35" s="53"/>
      <c r="X35" s="53">
        <f t="shared" si="5"/>
        <v>0</v>
      </c>
      <c r="Y35" s="53">
        <f t="shared" si="6"/>
        <v>1.5</v>
      </c>
      <c r="Z35" s="53" t="str">
        <f t="shared" si="7"/>
        <v>1113</v>
      </c>
      <c r="AA35" s="53">
        <f t="shared" si="8"/>
        <v>0.22</v>
      </c>
      <c r="AB35" s="147">
        <f t="shared" si="9"/>
        <v>0</v>
      </c>
      <c r="AC35" s="53"/>
    </row>
    <row r="36" customHeight="1" outlineLevel="1" spans="1:29">
      <c r="A36" s="43">
        <v>39</v>
      </c>
      <c r="B36" s="43"/>
      <c r="C36" s="43" t="s">
        <v>98</v>
      </c>
      <c r="D36" s="43" t="s">
        <v>67</v>
      </c>
      <c r="E36" s="45" t="s">
        <v>87</v>
      </c>
      <c r="F36" s="46" t="s">
        <v>101</v>
      </c>
      <c r="G36" s="43"/>
      <c r="H36" s="43" t="str">
        <f>VLOOKUP(D36,{"简单","785";"中等","1047";"复杂","1440"},2,0)</f>
        <v>1047</v>
      </c>
      <c r="I36" s="43">
        <v>1.5</v>
      </c>
      <c r="J36" s="55">
        <f t="shared" si="19"/>
        <v>0</v>
      </c>
      <c r="K36" s="46">
        <v>0.22</v>
      </c>
      <c r="L36" s="55">
        <f t="shared" si="20"/>
        <v>0</v>
      </c>
      <c r="M36" s="125">
        <f t="shared" si="21"/>
        <v>0</v>
      </c>
      <c r="N36" s="53"/>
      <c r="O36" s="126" t="s">
        <v>102</v>
      </c>
      <c r="P36" s="128"/>
      <c r="Q36" s="128">
        <f t="shared" si="0"/>
        <v>0</v>
      </c>
      <c r="R36" s="128">
        <f t="shared" si="1"/>
        <v>1.5</v>
      </c>
      <c r="S36" s="128" t="str">
        <f t="shared" si="2"/>
        <v>1047</v>
      </c>
      <c r="T36" s="128">
        <f t="shared" si="3"/>
        <v>0.22</v>
      </c>
      <c r="U36" s="140">
        <f t="shared" si="4"/>
        <v>0</v>
      </c>
      <c r="V36" s="128"/>
      <c r="W36" s="53"/>
      <c r="X36" s="53">
        <f t="shared" si="5"/>
        <v>0</v>
      </c>
      <c r="Y36" s="53">
        <f t="shared" si="6"/>
        <v>1.5</v>
      </c>
      <c r="Z36" s="53" t="str">
        <f t="shared" si="7"/>
        <v>1047</v>
      </c>
      <c r="AA36" s="53">
        <f t="shared" si="8"/>
        <v>0.22</v>
      </c>
      <c r="AB36" s="147">
        <f t="shared" si="9"/>
        <v>0</v>
      </c>
      <c r="AC36" s="53"/>
    </row>
    <row r="37" customHeight="1" outlineLevel="1" spans="1:29">
      <c r="A37" s="43">
        <v>40</v>
      </c>
      <c r="B37" s="112" t="s">
        <v>105</v>
      </c>
      <c r="C37" s="113" t="s">
        <v>106</v>
      </c>
      <c r="D37" s="43" t="s">
        <v>63</v>
      </c>
      <c r="E37" s="45" t="s">
        <v>107</v>
      </c>
      <c r="F37" s="46" t="s">
        <v>101</v>
      </c>
      <c r="G37" s="43">
        <v>1.5</v>
      </c>
      <c r="H37" s="43" t="str">
        <f>VLOOKUP(D37,{"简单","1416";"中等","1700";"复杂","2337"},2,0)</f>
        <v>2337</v>
      </c>
      <c r="I37" s="53">
        <v>1</v>
      </c>
      <c r="J37" s="55">
        <f t="shared" si="19"/>
        <v>3505.5</v>
      </c>
      <c r="K37" s="46">
        <v>0.22</v>
      </c>
      <c r="L37" s="55">
        <f t="shared" si="20"/>
        <v>771.21</v>
      </c>
      <c r="M37" s="125">
        <f t="shared" si="21"/>
        <v>4276.71</v>
      </c>
      <c r="N37" s="53" t="s">
        <v>108</v>
      </c>
      <c r="O37" s="129" t="s">
        <v>109</v>
      </c>
      <c r="P37" s="128"/>
      <c r="Q37" s="128">
        <f t="shared" si="0"/>
        <v>1.5</v>
      </c>
      <c r="R37" s="128">
        <f t="shared" si="1"/>
        <v>1</v>
      </c>
      <c r="S37" s="128" t="str">
        <f t="shared" si="2"/>
        <v>2337</v>
      </c>
      <c r="T37" s="128">
        <f t="shared" si="3"/>
        <v>0.22</v>
      </c>
      <c r="U37" s="140">
        <f t="shared" si="4"/>
        <v>4276.71</v>
      </c>
      <c r="V37" s="128"/>
      <c r="W37" s="53"/>
      <c r="X37" s="53">
        <f t="shared" si="5"/>
        <v>1.5</v>
      </c>
      <c r="Y37" s="53">
        <f t="shared" si="6"/>
        <v>1</v>
      </c>
      <c r="Z37" s="53" t="str">
        <f t="shared" si="7"/>
        <v>2337</v>
      </c>
      <c r="AA37" s="53">
        <f t="shared" si="8"/>
        <v>0.22</v>
      </c>
      <c r="AB37" s="147">
        <f t="shared" si="9"/>
        <v>4276.71</v>
      </c>
      <c r="AC37" s="53"/>
    </row>
    <row r="38" customHeight="1" outlineLevel="1" spans="1:29">
      <c r="A38" s="43">
        <v>41</v>
      </c>
      <c r="B38" s="114"/>
      <c r="C38" s="113" t="s">
        <v>110</v>
      </c>
      <c r="D38" s="43" t="s">
        <v>67</v>
      </c>
      <c r="E38" s="45"/>
      <c r="F38" s="46" t="s">
        <v>111</v>
      </c>
      <c r="G38" s="43"/>
      <c r="H38" s="105" t="str">
        <f>VLOOKUP(D38,{"简单","1";"中等","1.5";"复杂","2"},2,0)</f>
        <v>1.5</v>
      </c>
      <c r="I38" s="82">
        <v>1</v>
      </c>
      <c r="J38" s="55">
        <f t="shared" si="19"/>
        <v>0</v>
      </c>
      <c r="K38" s="46">
        <v>0.22</v>
      </c>
      <c r="L38" s="55">
        <f t="shared" si="20"/>
        <v>0</v>
      </c>
      <c r="M38" s="125">
        <f t="shared" si="21"/>
        <v>0</v>
      </c>
      <c r="N38" s="53" t="s">
        <v>112</v>
      </c>
      <c r="O38" s="130" t="s">
        <v>113</v>
      </c>
      <c r="P38" s="128"/>
      <c r="Q38" s="128">
        <f t="shared" si="0"/>
        <v>0</v>
      </c>
      <c r="R38" s="128">
        <f t="shared" si="1"/>
        <v>1</v>
      </c>
      <c r="S38" s="128" t="str">
        <f t="shared" si="2"/>
        <v>1.5</v>
      </c>
      <c r="T38" s="128">
        <f t="shared" si="3"/>
        <v>0.22</v>
      </c>
      <c r="U38" s="140">
        <f t="shared" si="4"/>
        <v>0</v>
      </c>
      <c r="V38" s="128"/>
      <c r="W38" s="53"/>
      <c r="X38" s="53">
        <f t="shared" si="5"/>
        <v>0</v>
      </c>
      <c r="Y38" s="53">
        <f t="shared" si="6"/>
        <v>1</v>
      </c>
      <c r="Z38" s="53" t="str">
        <f t="shared" si="7"/>
        <v>1.5</v>
      </c>
      <c r="AA38" s="53">
        <f t="shared" si="8"/>
        <v>0.22</v>
      </c>
      <c r="AB38" s="147">
        <f t="shared" si="9"/>
        <v>0</v>
      </c>
      <c r="AC38" s="53"/>
    </row>
    <row r="39" customHeight="1" outlineLevel="1" spans="1:29">
      <c r="A39" s="43">
        <v>42</v>
      </c>
      <c r="B39" s="94"/>
      <c r="C39" s="105" t="s">
        <v>114</v>
      </c>
      <c r="D39" s="43" t="s">
        <v>63</v>
      </c>
      <c r="E39" s="45" t="s">
        <v>107</v>
      </c>
      <c r="F39" s="46" t="s">
        <v>101</v>
      </c>
      <c r="G39" s="43">
        <v>1.5</v>
      </c>
      <c r="H39" s="91" t="str">
        <f>VLOOKUP(D39,{"简单","2250";"中等","4500";"复杂","7200"},2,0)</f>
        <v>7200</v>
      </c>
      <c r="I39" s="53">
        <v>1</v>
      </c>
      <c r="J39" s="55">
        <f t="shared" si="19"/>
        <v>10800</v>
      </c>
      <c r="K39" s="46">
        <v>0.22</v>
      </c>
      <c r="L39" s="55">
        <f t="shared" si="20"/>
        <v>2376</v>
      </c>
      <c r="M39" s="125">
        <f t="shared" si="21"/>
        <v>13176</v>
      </c>
      <c r="N39" s="53" t="s">
        <v>112</v>
      </c>
      <c r="O39" s="130" t="s">
        <v>113</v>
      </c>
      <c r="P39" s="128"/>
      <c r="Q39" s="128">
        <f t="shared" si="0"/>
        <v>1.5</v>
      </c>
      <c r="R39" s="128">
        <f t="shared" si="1"/>
        <v>1</v>
      </c>
      <c r="S39" s="128" t="str">
        <f t="shared" si="2"/>
        <v>7200</v>
      </c>
      <c r="T39" s="128">
        <f t="shared" si="3"/>
        <v>0.22</v>
      </c>
      <c r="U39" s="140">
        <f t="shared" si="4"/>
        <v>13176</v>
      </c>
      <c r="V39" s="128"/>
      <c r="W39" s="53"/>
      <c r="X39" s="53">
        <f t="shared" si="5"/>
        <v>1.5</v>
      </c>
      <c r="Y39" s="53">
        <f t="shared" si="6"/>
        <v>1</v>
      </c>
      <c r="Z39" s="53" t="str">
        <f t="shared" si="7"/>
        <v>7200</v>
      </c>
      <c r="AA39" s="53">
        <f t="shared" si="8"/>
        <v>0.22</v>
      </c>
      <c r="AB39" s="147">
        <f t="shared" si="9"/>
        <v>13176</v>
      </c>
      <c r="AC39" s="53"/>
    </row>
    <row r="40" customHeight="1" spans="1:29">
      <c r="A40" s="115" t="s">
        <v>115</v>
      </c>
      <c r="B40" s="116"/>
      <c r="C40" s="116"/>
      <c r="D40" s="116"/>
      <c r="E40" s="116"/>
      <c r="F40" s="116"/>
      <c r="G40" s="43"/>
      <c r="H40" s="43"/>
      <c r="I40" s="43"/>
      <c r="J40" s="131">
        <f>SUM(J5:J39)</f>
        <v>102647.484</v>
      </c>
      <c r="K40" s="132"/>
      <c r="L40" s="131">
        <f>SUM(L5:L39)</f>
        <v>22582.44648</v>
      </c>
      <c r="M40" s="131">
        <f>SUM(M5:M39)</f>
        <v>125229.93048</v>
      </c>
      <c r="N40" s="94"/>
      <c r="O40" s="130"/>
      <c r="P40" s="133" t="s">
        <v>116</v>
      </c>
      <c r="Q40" s="141"/>
      <c r="R40" s="141"/>
      <c r="S40" s="141"/>
      <c r="T40" s="142"/>
      <c r="U40" s="143">
        <f>SUM(U5:U39)</f>
        <v>125229.93048</v>
      </c>
      <c r="V40" s="128"/>
      <c r="W40" s="144" t="s">
        <v>116</v>
      </c>
      <c r="X40" s="145"/>
      <c r="Y40" s="145"/>
      <c r="Z40" s="145"/>
      <c r="AA40" s="148"/>
      <c r="AB40" s="149">
        <f>SUM(AB5:AB39)</f>
        <v>125229.93048</v>
      </c>
      <c r="AC40" s="53"/>
    </row>
    <row r="41" customHeight="1" spans="1:15">
      <c r="A41" s="117" t="s">
        <v>117</v>
      </c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</row>
    <row r="42" ht="52" customHeight="1" outlineLevel="1" spans="1:29">
      <c r="A42" s="40" t="s">
        <v>1</v>
      </c>
      <c r="B42" s="40" t="s">
        <v>39</v>
      </c>
      <c r="C42" s="40"/>
      <c r="D42" s="40"/>
      <c r="E42" s="40"/>
      <c r="F42" s="40"/>
      <c r="G42" s="40" t="s">
        <v>40</v>
      </c>
      <c r="H42" s="40"/>
      <c r="I42" s="40"/>
      <c r="J42" s="40"/>
      <c r="K42" s="60" t="s">
        <v>41</v>
      </c>
      <c r="L42" s="121"/>
      <c r="M42" s="60" t="s">
        <v>42</v>
      </c>
      <c r="N42" s="71" t="s">
        <v>43</v>
      </c>
      <c r="O42" s="122" t="s">
        <v>44</v>
      </c>
      <c r="P42" s="123" t="s">
        <v>45</v>
      </c>
      <c r="Q42" s="123" t="s">
        <v>46</v>
      </c>
      <c r="R42" s="123" t="s">
        <v>47</v>
      </c>
      <c r="S42" s="123" t="s">
        <v>48</v>
      </c>
      <c r="T42" s="123" t="s">
        <v>49</v>
      </c>
      <c r="U42" s="123" t="s">
        <v>50</v>
      </c>
      <c r="V42" s="123" t="s">
        <v>51</v>
      </c>
      <c r="W42" s="138" t="s">
        <v>45</v>
      </c>
      <c r="X42" s="138" t="s">
        <v>118</v>
      </c>
      <c r="Y42" s="138" t="s">
        <v>119</v>
      </c>
      <c r="Z42" s="138" t="s">
        <v>48</v>
      </c>
      <c r="AA42" s="138" t="s">
        <v>120</v>
      </c>
      <c r="AB42" s="138" t="s">
        <v>50</v>
      </c>
      <c r="AC42" s="138" t="s">
        <v>51</v>
      </c>
    </row>
    <row r="43" ht="38" customHeight="1" outlineLevel="1" spans="1:29">
      <c r="A43" s="40"/>
      <c r="B43" s="40" t="s">
        <v>52</v>
      </c>
      <c r="C43" s="40" t="s">
        <v>53</v>
      </c>
      <c r="D43" s="40" t="s">
        <v>54</v>
      </c>
      <c r="E43" s="42" t="s">
        <v>55</v>
      </c>
      <c r="F43" s="40" t="s">
        <v>56</v>
      </c>
      <c r="G43" s="40" t="s">
        <v>57</v>
      </c>
      <c r="H43" s="61" t="s">
        <v>58</v>
      </c>
      <c r="I43" s="40" t="s">
        <v>59</v>
      </c>
      <c r="J43" s="60" t="s">
        <v>19</v>
      </c>
      <c r="K43" s="40" t="s">
        <v>59</v>
      </c>
      <c r="L43" s="40" t="s">
        <v>19</v>
      </c>
      <c r="M43" s="60"/>
      <c r="N43" s="71"/>
      <c r="O43" s="71"/>
      <c r="P43" s="124"/>
      <c r="Q43" s="124"/>
      <c r="R43" s="124"/>
      <c r="S43" s="124"/>
      <c r="T43" s="124"/>
      <c r="U43" s="124"/>
      <c r="V43" s="124"/>
      <c r="W43" s="139"/>
      <c r="X43" s="139"/>
      <c r="Y43" s="139"/>
      <c r="Z43" s="139"/>
      <c r="AA43" s="139"/>
      <c r="AB43" s="139"/>
      <c r="AC43" s="139"/>
    </row>
    <row r="44" customHeight="1" outlineLevel="1" spans="1:29">
      <c r="A44" s="43">
        <v>1</v>
      </c>
      <c r="B44" s="43" t="s">
        <v>60</v>
      </c>
      <c r="C44" s="43" t="s">
        <v>61</v>
      </c>
      <c r="D44" s="43" t="s">
        <v>62</v>
      </c>
      <c r="E44" s="43" t="s">
        <v>63</v>
      </c>
      <c r="F44" s="46" t="s">
        <v>64</v>
      </c>
      <c r="G44" s="43"/>
      <c r="H44" s="43">
        <f>IF(D44="GPS测量E级",VLOOKUP(E44,{"简单","2821";"中等","3203";"复杂","4123"},2,0))+IF(D44="GPS测量D级",VLOOKUP(E44,{"简单","3198";"中等","3632";"复杂","4671"},2,0))+IF(D44="GPS测量C级",VLOOKUP(E44,{"简单","3727";"中等","4274";"复杂","5500"},2,0))</f>
        <v>4671</v>
      </c>
      <c r="I44" s="43">
        <v>0.6</v>
      </c>
      <c r="J44" s="55">
        <f t="shared" ref="J44:J78" si="22">G44*I44*H44</f>
        <v>0</v>
      </c>
      <c r="K44" s="46">
        <v>0.22</v>
      </c>
      <c r="L44" s="55">
        <f t="shared" ref="L44:L78" si="23">J44*K44</f>
        <v>0</v>
      </c>
      <c r="M44" s="125">
        <f t="shared" ref="M44:M78" si="24">J44+L44</f>
        <v>0</v>
      </c>
      <c r="N44" s="87" t="s">
        <v>65</v>
      </c>
      <c r="O44" s="126"/>
      <c r="P44" s="127"/>
      <c r="Q44" s="128">
        <f t="shared" ref="Q44:Q78" si="25">G44</f>
        <v>0</v>
      </c>
      <c r="R44" s="128">
        <f t="shared" ref="R44:R78" si="26">I44</f>
        <v>0.6</v>
      </c>
      <c r="S44" s="128">
        <f t="shared" ref="S44:S78" si="27">H44</f>
        <v>4671</v>
      </c>
      <c r="T44" s="128">
        <f t="shared" ref="T44:T78" si="28">K44</f>
        <v>0.22</v>
      </c>
      <c r="U44" s="140">
        <f t="shared" ref="U44:U78" si="29">Q44*R44*S44*(1+T44)</f>
        <v>0</v>
      </c>
      <c r="V44" s="128"/>
      <c r="W44" s="53"/>
      <c r="X44" s="53">
        <f t="shared" ref="X44:X78" si="30">G44</f>
        <v>0</v>
      </c>
      <c r="Y44" s="53">
        <f t="shared" ref="Y44:Y78" si="31">I44</f>
        <v>0.6</v>
      </c>
      <c r="Z44" s="53">
        <f t="shared" ref="Z44:Z78" si="32">H44</f>
        <v>4671</v>
      </c>
      <c r="AA44" s="53">
        <f t="shared" ref="AA44:AA78" si="33">K44</f>
        <v>0.22</v>
      </c>
      <c r="AB44" s="147">
        <f t="shared" ref="AB44:AB78" si="34">X44*Y44*Z44*(1+AA44)</f>
        <v>0</v>
      </c>
      <c r="AC44" s="53"/>
    </row>
    <row r="45" customHeight="1" outlineLevel="1" spans="1:29">
      <c r="A45" s="43">
        <v>2</v>
      </c>
      <c r="B45" s="43"/>
      <c r="C45" s="43" t="s">
        <v>61</v>
      </c>
      <c r="D45" s="43" t="s">
        <v>62</v>
      </c>
      <c r="E45" s="43" t="s">
        <v>67</v>
      </c>
      <c r="F45" s="46" t="s">
        <v>64</v>
      </c>
      <c r="G45" s="43"/>
      <c r="H45" s="43">
        <f>IF(D45="GPS测量E级",VLOOKUP(E45,{"简单","2821";"中等","3203";"复杂","4123"},2,0))+IF(D45="GPS测量D级",VLOOKUP(E45,{"简单","3198";"中等","3632";"复杂","4671"},2,0))+IF(D45="GPS测量C级",VLOOKUP(E45,{"简单","3727";"中等","4274";"复杂","5500"},2,0))</f>
        <v>3632</v>
      </c>
      <c r="I45" s="43">
        <v>0.6</v>
      </c>
      <c r="J45" s="55">
        <f t="shared" si="22"/>
        <v>0</v>
      </c>
      <c r="K45" s="46">
        <v>0.22</v>
      </c>
      <c r="L45" s="55">
        <f t="shared" si="23"/>
        <v>0</v>
      </c>
      <c r="M45" s="125">
        <f t="shared" si="24"/>
        <v>0</v>
      </c>
      <c r="N45" s="87"/>
      <c r="O45" s="126"/>
      <c r="P45" s="127"/>
      <c r="Q45" s="128">
        <f t="shared" si="25"/>
        <v>0</v>
      </c>
      <c r="R45" s="128">
        <f t="shared" si="26"/>
        <v>0.6</v>
      </c>
      <c r="S45" s="128">
        <f t="shared" si="27"/>
        <v>3632</v>
      </c>
      <c r="T45" s="128">
        <f t="shared" si="28"/>
        <v>0.22</v>
      </c>
      <c r="U45" s="140">
        <f t="shared" si="29"/>
        <v>0</v>
      </c>
      <c r="V45" s="128"/>
      <c r="W45" s="53"/>
      <c r="X45" s="53">
        <f t="shared" si="30"/>
        <v>0</v>
      </c>
      <c r="Y45" s="53">
        <f t="shared" si="31"/>
        <v>0.6</v>
      </c>
      <c r="Z45" s="53">
        <f t="shared" si="32"/>
        <v>3632</v>
      </c>
      <c r="AA45" s="53">
        <f t="shared" si="33"/>
        <v>0.22</v>
      </c>
      <c r="AB45" s="147">
        <f t="shared" si="34"/>
        <v>0</v>
      </c>
      <c r="AC45" s="53"/>
    </row>
    <row r="46" customHeight="1" outlineLevel="1" spans="1:29">
      <c r="A46" s="43">
        <v>3</v>
      </c>
      <c r="B46" s="43"/>
      <c r="C46" s="53" t="s">
        <v>68</v>
      </c>
      <c r="D46" s="43" t="s">
        <v>69</v>
      </c>
      <c r="E46" s="43" t="s">
        <v>67</v>
      </c>
      <c r="F46" s="46" t="s">
        <v>70</v>
      </c>
      <c r="G46" s="43"/>
      <c r="H46" s="43">
        <f>IF(D46="GPS测量E级",VLOOKUP(E46,{"简单","2821";"中等","3203";"复杂","4123"},2,0))+IF(D46="GPS测量D级",VLOOKUP(E46,{"简单","3198";"中等","3632";"复杂","4671"},2,0))+IF(D46="GPS测量C级",VLOOKUP(E46,{"简单","3727";"中等","4274";"复杂","5500"},2,0))</f>
        <v>3203</v>
      </c>
      <c r="I46" s="43">
        <v>0.6</v>
      </c>
      <c r="J46" s="55">
        <f t="shared" si="22"/>
        <v>0</v>
      </c>
      <c r="K46" s="46">
        <v>0.22</v>
      </c>
      <c r="L46" s="55">
        <f t="shared" si="23"/>
        <v>0</v>
      </c>
      <c r="M46" s="125">
        <f t="shared" si="24"/>
        <v>0</v>
      </c>
      <c r="N46" s="53"/>
      <c r="O46" s="126"/>
      <c r="P46" s="127"/>
      <c r="Q46" s="128">
        <f t="shared" si="25"/>
        <v>0</v>
      </c>
      <c r="R46" s="128">
        <f t="shared" si="26"/>
        <v>0.6</v>
      </c>
      <c r="S46" s="128">
        <f t="shared" si="27"/>
        <v>3203</v>
      </c>
      <c r="T46" s="128">
        <f t="shared" si="28"/>
        <v>0.22</v>
      </c>
      <c r="U46" s="140">
        <f t="shared" si="29"/>
        <v>0</v>
      </c>
      <c r="V46" s="128"/>
      <c r="W46" s="53"/>
      <c r="X46" s="53">
        <f t="shared" si="30"/>
        <v>0</v>
      </c>
      <c r="Y46" s="53">
        <f t="shared" si="31"/>
        <v>0.6</v>
      </c>
      <c r="Z46" s="53">
        <f t="shared" si="32"/>
        <v>3203</v>
      </c>
      <c r="AA46" s="53">
        <f t="shared" si="33"/>
        <v>0.22</v>
      </c>
      <c r="AB46" s="147">
        <f t="shared" si="34"/>
        <v>0</v>
      </c>
      <c r="AC46" s="53"/>
    </row>
    <row r="47" customHeight="1" outlineLevel="1" spans="1:29">
      <c r="A47" s="43">
        <v>4</v>
      </c>
      <c r="B47" s="43"/>
      <c r="C47" s="53" t="s">
        <v>71</v>
      </c>
      <c r="D47" s="43" t="s">
        <v>69</v>
      </c>
      <c r="E47" s="43" t="s">
        <v>63</v>
      </c>
      <c r="F47" s="46" t="s">
        <v>70</v>
      </c>
      <c r="G47" s="43"/>
      <c r="H47" s="43">
        <f>IF(D47="GPS测量E级",VLOOKUP(E47,{"简单","2821";"中等","3203";"复杂","4123"},2,0))+IF(D47="GPS测量D级",VLOOKUP(E47,{"简单","3198";"中等","3632";"复杂","4671"},2,0))+IF(D47="GPS测量C级",VLOOKUP(E47,{"简单","3727";"中等","4274";"复杂","5500"},2,0))</f>
        <v>4123</v>
      </c>
      <c r="I47" s="43">
        <v>0.6</v>
      </c>
      <c r="J47" s="55">
        <f t="shared" si="22"/>
        <v>0</v>
      </c>
      <c r="K47" s="46">
        <v>0.22</v>
      </c>
      <c r="L47" s="55">
        <f t="shared" si="23"/>
        <v>0</v>
      </c>
      <c r="M47" s="125">
        <f t="shared" si="24"/>
        <v>0</v>
      </c>
      <c r="N47" s="53"/>
      <c r="O47" s="126"/>
      <c r="P47" s="128"/>
      <c r="Q47" s="128">
        <f t="shared" si="25"/>
        <v>0</v>
      </c>
      <c r="R47" s="128">
        <f t="shared" si="26"/>
        <v>0.6</v>
      </c>
      <c r="S47" s="128">
        <f t="shared" si="27"/>
        <v>4123</v>
      </c>
      <c r="T47" s="128">
        <f t="shared" si="28"/>
        <v>0.22</v>
      </c>
      <c r="U47" s="140">
        <f t="shared" si="29"/>
        <v>0</v>
      </c>
      <c r="V47" s="128"/>
      <c r="W47" s="53"/>
      <c r="X47" s="53">
        <f t="shared" si="30"/>
        <v>0</v>
      </c>
      <c r="Y47" s="53">
        <f t="shared" si="31"/>
        <v>0.6</v>
      </c>
      <c r="Z47" s="53">
        <f t="shared" si="32"/>
        <v>4123</v>
      </c>
      <c r="AA47" s="53">
        <f t="shared" si="33"/>
        <v>0.22</v>
      </c>
      <c r="AB47" s="147">
        <f t="shared" si="34"/>
        <v>0</v>
      </c>
      <c r="AC47" s="53"/>
    </row>
    <row r="48" customHeight="1" outlineLevel="1" spans="1:29">
      <c r="A48" s="43">
        <v>5</v>
      </c>
      <c r="B48" s="43"/>
      <c r="C48" s="43" t="s">
        <v>72</v>
      </c>
      <c r="D48" s="43" t="s">
        <v>69</v>
      </c>
      <c r="E48" s="43" t="s">
        <v>63</v>
      </c>
      <c r="F48" s="46" t="s">
        <v>70</v>
      </c>
      <c r="G48" s="43"/>
      <c r="H48" s="43">
        <f>IF(D48="GPS测量E级",VLOOKUP(E48,{"简单","2821";"中等","3203";"复杂","4123"},2,0))+IF(D48="GPS测量D级",VLOOKUP(E48,{"简单","3198";"中等","3632";"复杂","4671"},2,0))+IF(D48="GPS测量C级",VLOOKUP(E48,{"简单","3727";"中等","4274";"复杂","5500"},2,0))</f>
        <v>4123</v>
      </c>
      <c r="I48" s="43">
        <v>1</v>
      </c>
      <c r="J48" s="55">
        <f t="shared" si="22"/>
        <v>0</v>
      </c>
      <c r="K48" s="46">
        <v>0.22</v>
      </c>
      <c r="L48" s="55">
        <f t="shared" si="23"/>
        <v>0</v>
      </c>
      <c r="M48" s="125">
        <f t="shared" si="24"/>
        <v>0</v>
      </c>
      <c r="N48" s="53"/>
      <c r="O48" s="126"/>
      <c r="P48" s="128"/>
      <c r="Q48" s="128">
        <f t="shared" si="25"/>
        <v>0</v>
      </c>
      <c r="R48" s="128">
        <f t="shared" si="26"/>
        <v>1</v>
      </c>
      <c r="S48" s="128">
        <f t="shared" si="27"/>
        <v>4123</v>
      </c>
      <c r="T48" s="128">
        <f t="shared" si="28"/>
        <v>0.22</v>
      </c>
      <c r="U48" s="140">
        <f t="shared" si="29"/>
        <v>0</v>
      </c>
      <c r="V48" s="128"/>
      <c r="W48" s="53"/>
      <c r="X48" s="53">
        <f t="shared" si="30"/>
        <v>0</v>
      </c>
      <c r="Y48" s="53">
        <f t="shared" si="31"/>
        <v>1</v>
      </c>
      <c r="Z48" s="53">
        <f t="shared" si="32"/>
        <v>4123</v>
      </c>
      <c r="AA48" s="53">
        <f t="shared" si="33"/>
        <v>0.22</v>
      </c>
      <c r="AB48" s="147">
        <f t="shared" si="34"/>
        <v>0</v>
      </c>
      <c r="AC48" s="53"/>
    </row>
    <row r="49" customHeight="1" outlineLevel="1" spans="1:29">
      <c r="A49" s="43">
        <v>6</v>
      </c>
      <c r="B49" s="43"/>
      <c r="C49" s="43" t="s">
        <v>73</v>
      </c>
      <c r="D49" s="43" t="s">
        <v>69</v>
      </c>
      <c r="E49" s="43" t="s">
        <v>63</v>
      </c>
      <c r="F49" s="46" t="s">
        <v>70</v>
      </c>
      <c r="G49" s="43"/>
      <c r="H49" s="43">
        <f>IF(D49="GPS测量E级",VLOOKUP(E49,{"简单","2821";"中等","3203";"复杂","4123"},2,0))+IF(D49="GPS测量D级",VLOOKUP(E49,{"简单","3198";"中等","3632";"复杂","4671"},2,0))+IF(D49="GPS测量C级",VLOOKUP(E49,{"简单","3727";"中等","4274";"复杂","5500"},2,0))</f>
        <v>4123</v>
      </c>
      <c r="I49" s="43">
        <v>0.6</v>
      </c>
      <c r="J49" s="55">
        <f t="shared" si="22"/>
        <v>0</v>
      </c>
      <c r="K49" s="46">
        <v>0.22</v>
      </c>
      <c r="L49" s="55">
        <f t="shared" si="23"/>
        <v>0</v>
      </c>
      <c r="M49" s="125">
        <f t="shared" si="24"/>
        <v>0</v>
      </c>
      <c r="N49" s="53"/>
      <c r="O49" s="126"/>
      <c r="P49" s="128"/>
      <c r="Q49" s="128">
        <f t="shared" si="25"/>
        <v>0</v>
      </c>
      <c r="R49" s="128">
        <f t="shared" si="26"/>
        <v>0.6</v>
      </c>
      <c r="S49" s="128">
        <f t="shared" si="27"/>
        <v>4123</v>
      </c>
      <c r="T49" s="128">
        <f t="shared" si="28"/>
        <v>0.22</v>
      </c>
      <c r="U49" s="140">
        <f t="shared" si="29"/>
        <v>0</v>
      </c>
      <c r="V49" s="128"/>
      <c r="W49" s="53"/>
      <c r="X49" s="53">
        <f t="shared" si="30"/>
        <v>0</v>
      </c>
      <c r="Y49" s="53">
        <f t="shared" si="31"/>
        <v>0.6</v>
      </c>
      <c r="Z49" s="53">
        <f t="shared" si="32"/>
        <v>4123</v>
      </c>
      <c r="AA49" s="53">
        <f t="shared" si="33"/>
        <v>0.22</v>
      </c>
      <c r="AB49" s="147">
        <f t="shared" si="34"/>
        <v>0</v>
      </c>
      <c r="AC49" s="53"/>
    </row>
    <row r="50" customHeight="1" outlineLevel="1" spans="1:29">
      <c r="A50" s="43">
        <v>7</v>
      </c>
      <c r="B50" s="43"/>
      <c r="C50" s="43" t="s">
        <v>74</v>
      </c>
      <c r="D50" s="43" t="s">
        <v>69</v>
      </c>
      <c r="E50" s="43" t="s">
        <v>67</v>
      </c>
      <c r="F50" s="46" t="s">
        <v>70</v>
      </c>
      <c r="G50" s="43">
        <v>6</v>
      </c>
      <c r="H50" s="43">
        <f>IF(D50="GPS测量E级",VLOOKUP(E50,{"简单","2821";"中等","3203";"复杂","4123"},2,0))+IF(D50="GPS测量D级",VLOOKUP(E50,{"简单","3198";"中等","3632";"复杂","4671"},2,0))+IF(D50="GPS测量C级",VLOOKUP(E50,{"简单","3727";"中等","4274";"复杂","5500"},2,0))</f>
        <v>3203</v>
      </c>
      <c r="I50" s="43">
        <v>1</v>
      </c>
      <c r="J50" s="55">
        <f t="shared" si="22"/>
        <v>19218</v>
      </c>
      <c r="K50" s="46">
        <v>0.22</v>
      </c>
      <c r="L50" s="55">
        <f t="shared" si="23"/>
        <v>4227.96</v>
      </c>
      <c r="M50" s="125">
        <f t="shared" si="24"/>
        <v>23445.96</v>
      </c>
      <c r="N50" s="53"/>
      <c r="O50" s="126"/>
      <c r="P50" s="128"/>
      <c r="Q50" s="128">
        <f t="shared" si="25"/>
        <v>6</v>
      </c>
      <c r="R50" s="128">
        <f t="shared" si="26"/>
        <v>1</v>
      </c>
      <c r="S50" s="128">
        <f t="shared" si="27"/>
        <v>3203</v>
      </c>
      <c r="T50" s="128">
        <f t="shared" si="28"/>
        <v>0.22</v>
      </c>
      <c r="U50" s="140">
        <f t="shared" si="29"/>
        <v>23445.96</v>
      </c>
      <c r="V50" s="128"/>
      <c r="W50" s="53"/>
      <c r="X50" s="53">
        <f t="shared" si="30"/>
        <v>6</v>
      </c>
      <c r="Y50" s="53">
        <f t="shared" si="31"/>
        <v>1</v>
      </c>
      <c r="Z50" s="53">
        <f t="shared" si="32"/>
        <v>3203</v>
      </c>
      <c r="AA50" s="53">
        <f t="shared" si="33"/>
        <v>0.22</v>
      </c>
      <c r="AB50" s="147">
        <f t="shared" si="34"/>
        <v>23445.96</v>
      </c>
      <c r="AC50" s="53"/>
    </row>
    <row r="51" customHeight="1" outlineLevel="1" spans="1:29">
      <c r="A51" s="43">
        <v>8</v>
      </c>
      <c r="B51" s="43"/>
      <c r="C51" s="43" t="s">
        <v>75</v>
      </c>
      <c r="D51" s="43" t="s">
        <v>69</v>
      </c>
      <c r="E51" s="43" t="s">
        <v>76</v>
      </c>
      <c r="F51" s="46" t="s">
        <v>70</v>
      </c>
      <c r="G51" s="43">
        <v>6</v>
      </c>
      <c r="H51" s="43">
        <f>IF(D51="GPS测量E级",VLOOKUP(E51,{"简单","2821";"中等","3203";"复杂","4123"},2,0))+IF(D51="GPS测量D级",VLOOKUP(E51,{"简单","3198";"中等","3632";"复杂","4671"},2,0))+IF(D51="GPS测量C级",VLOOKUP(E51,{"简单","3727";"中等","4274";"复杂","5500"},2,0))+IF(D51="三角（边）一级",VLOOKUP(E51,{"简单","1096";"中等","1244";"复杂","1602"},2,0))</f>
        <v>2821</v>
      </c>
      <c r="I51" s="43">
        <v>0.6</v>
      </c>
      <c r="J51" s="55">
        <f t="shared" si="22"/>
        <v>10155.6</v>
      </c>
      <c r="K51" s="46">
        <v>0.22</v>
      </c>
      <c r="L51" s="55">
        <f t="shared" si="23"/>
        <v>2234.232</v>
      </c>
      <c r="M51" s="125">
        <f t="shared" si="24"/>
        <v>12389.832</v>
      </c>
      <c r="N51" s="53"/>
      <c r="O51" s="126"/>
      <c r="P51" s="128"/>
      <c r="Q51" s="128">
        <f t="shared" si="25"/>
        <v>6</v>
      </c>
      <c r="R51" s="128">
        <f t="shared" si="26"/>
        <v>0.6</v>
      </c>
      <c r="S51" s="128">
        <f t="shared" si="27"/>
        <v>2821</v>
      </c>
      <c r="T51" s="128">
        <f t="shared" si="28"/>
        <v>0.22</v>
      </c>
      <c r="U51" s="140">
        <f t="shared" si="29"/>
        <v>12389.832</v>
      </c>
      <c r="V51" s="128"/>
      <c r="W51" s="53"/>
      <c r="X51" s="53">
        <f t="shared" si="30"/>
        <v>6</v>
      </c>
      <c r="Y51" s="53">
        <f t="shared" si="31"/>
        <v>0.6</v>
      </c>
      <c r="Z51" s="53">
        <f t="shared" si="32"/>
        <v>2821</v>
      </c>
      <c r="AA51" s="53">
        <f t="shared" si="33"/>
        <v>0.22</v>
      </c>
      <c r="AB51" s="147">
        <f t="shared" si="34"/>
        <v>12389.832</v>
      </c>
      <c r="AC51" s="53"/>
    </row>
    <row r="52" customHeight="1" outlineLevel="1" spans="1:29">
      <c r="A52" s="43">
        <v>9</v>
      </c>
      <c r="B52" s="43"/>
      <c r="C52" s="43" t="s">
        <v>77</v>
      </c>
      <c r="D52" s="43" t="s">
        <v>69</v>
      </c>
      <c r="E52" s="43" t="s">
        <v>63</v>
      </c>
      <c r="F52" s="46" t="s">
        <v>70</v>
      </c>
      <c r="G52" s="43"/>
      <c r="H52" s="43">
        <f>IF(D52="GPS测量E级",VLOOKUP(E52,{"简单","2821";"中等","3203";"复杂","4123"},2,0))+IF(D52="GPS测量D级",VLOOKUP(E52,{"简单","3198";"中等","3632";"复杂","4671"},2,0))+IF(D52="GPS测量C级",VLOOKUP(E52,{"简单","3727";"中等","4274";"复杂","5500"},2,0))</f>
        <v>4123</v>
      </c>
      <c r="I52" s="43">
        <v>0.6</v>
      </c>
      <c r="J52" s="55">
        <f t="shared" si="22"/>
        <v>0</v>
      </c>
      <c r="K52" s="46">
        <v>0.22</v>
      </c>
      <c r="L52" s="55">
        <f t="shared" si="23"/>
        <v>0</v>
      </c>
      <c r="M52" s="125">
        <f t="shared" si="24"/>
        <v>0</v>
      </c>
      <c r="N52" s="53"/>
      <c r="O52" s="126"/>
      <c r="P52" s="128"/>
      <c r="Q52" s="128">
        <f t="shared" si="25"/>
        <v>0</v>
      </c>
      <c r="R52" s="128">
        <f t="shared" si="26"/>
        <v>0.6</v>
      </c>
      <c r="S52" s="128">
        <f t="shared" si="27"/>
        <v>4123</v>
      </c>
      <c r="T52" s="128">
        <f t="shared" si="28"/>
        <v>0.22</v>
      </c>
      <c r="U52" s="140">
        <f t="shared" si="29"/>
        <v>0</v>
      </c>
      <c r="V52" s="128"/>
      <c r="W52" s="53"/>
      <c r="X52" s="53">
        <f t="shared" si="30"/>
        <v>0</v>
      </c>
      <c r="Y52" s="53">
        <f t="shared" si="31"/>
        <v>0.6</v>
      </c>
      <c r="Z52" s="53">
        <f t="shared" si="32"/>
        <v>4123</v>
      </c>
      <c r="AA52" s="53">
        <f t="shared" si="33"/>
        <v>0.22</v>
      </c>
      <c r="AB52" s="147">
        <f t="shared" si="34"/>
        <v>0</v>
      </c>
      <c r="AC52" s="53"/>
    </row>
    <row r="53" customHeight="1" outlineLevel="1" spans="1:29">
      <c r="A53" s="43">
        <v>10</v>
      </c>
      <c r="B53" s="43"/>
      <c r="C53" s="43" t="s">
        <v>78</v>
      </c>
      <c r="D53" s="43" t="s">
        <v>69</v>
      </c>
      <c r="E53" s="43" t="s">
        <v>63</v>
      </c>
      <c r="F53" s="46" t="s">
        <v>70</v>
      </c>
      <c r="G53" s="43"/>
      <c r="H53" s="43">
        <f>IF(D53="GPS测量E级",VLOOKUP(E53,{"简单","2821";"中等","3203";"复杂","4123"},2,0))+IF(D53="GPS测量D级",VLOOKUP(E53,{"简单","3198";"中等","3632";"复杂","4671"},2,0))+IF(D53="GPS测量C级",VLOOKUP(E53,{"简单","3727";"中等","4274";"复杂","5500"},2,0))</f>
        <v>4123</v>
      </c>
      <c r="I53" s="43">
        <v>0.6</v>
      </c>
      <c r="J53" s="55">
        <f t="shared" si="22"/>
        <v>0</v>
      </c>
      <c r="K53" s="46">
        <v>0.22</v>
      </c>
      <c r="L53" s="55">
        <f t="shared" si="23"/>
        <v>0</v>
      </c>
      <c r="M53" s="125">
        <f t="shared" si="24"/>
        <v>0</v>
      </c>
      <c r="N53" s="53"/>
      <c r="O53" s="126"/>
      <c r="P53" s="128"/>
      <c r="Q53" s="128">
        <f t="shared" si="25"/>
        <v>0</v>
      </c>
      <c r="R53" s="128">
        <f t="shared" si="26"/>
        <v>0.6</v>
      </c>
      <c r="S53" s="128">
        <f t="shared" si="27"/>
        <v>4123</v>
      </c>
      <c r="T53" s="128">
        <f t="shared" si="28"/>
        <v>0.22</v>
      </c>
      <c r="U53" s="140">
        <f t="shared" si="29"/>
        <v>0</v>
      </c>
      <c r="V53" s="128"/>
      <c r="W53" s="53"/>
      <c r="X53" s="53">
        <f t="shared" si="30"/>
        <v>0</v>
      </c>
      <c r="Y53" s="53">
        <f t="shared" si="31"/>
        <v>0.6</v>
      </c>
      <c r="Z53" s="53">
        <f t="shared" si="32"/>
        <v>4123</v>
      </c>
      <c r="AA53" s="53">
        <f t="shared" si="33"/>
        <v>0.22</v>
      </c>
      <c r="AB53" s="147">
        <f t="shared" si="34"/>
        <v>0</v>
      </c>
      <c r="AC53" s="53"/>
    </row>
    <row r="54" customHeight="1" outlineLevel="1" spans="1:29">
      <c r="A54" s="43">
        <v>11</v>
      </c>
      <c r="B54" s="43"/>
      <c r="C54" s="43" t="s">
        <v>79</v>
      </c>
      <c r="D54" s="43" t="s">
        <v>69</v>
      </c>
      <c r="E54" s="43" t="s">
        <v>63</v>
      </c>
      <c r="F54" s="46" t="s">
        <v>70</v>
      </c>
      <c r="G54" s="43"/>
      <c r="H54" s="43">
        <f>IF(D54="GPS测量E级",VLOOKUP(E54,{"简单","2821";"中等","3203";"复杂","4123"},2,0))+IF(D54="GPS测量D级",VLOOKUP(E54,{"简单","3198";"中等","3632";"复杂","4671"},2,0))+IF(D54="GPS测量C级",VLOOKUP(E54,{"简单","3727";"中等","4274";"复杂","5500"},2,0))</f>
        <v>4123</v>
      </c>
      <c r="I54" s="43">
        <v>0.6</v>
      </c>
      <c r="J54" s="55">
        <f t="shared" si="22"/>
        <v>0</v>
      </c>
      <c r="K54" s="46">
        <v>0.22</v>
      </c>
      <c r="L54" s="55">
        <f t="shared" si="23"/>
        <v>0</v>
      </c>
      <c r="M54" s="125">
        <f t="shared" si="24"/>
        <v>0</v>
      </c>
      <c r="N54" s="53"/>
      <c r="O54" s="126"/>
      <c r="P54" s="128"/>
      <c r="Q54" s="128">
        <f t="shared" si="25"/>
        <v>0</v>
      </c>
      <c r="R54" s="128">
        <f t="shared" si="26"/>
        <v>0.6</v>
      </c>
      <c r="S54" s="128">
        <f t="shared" si="27"/>
        <v>4123</v>
      </c>
      <c r="T54" s="128">
        <f t="shared" si="28"/>
        <v>0.22</v>
      </c>
      <c r="U54" s="140">
        <f t="shared" si="29"/>
        <v>0</v>
      </c>
      <c r="V54" s="128"/>
      <c r="W54" s="53"/>
      <c r="X54" s="53">
        <f t="shared" si="30"/>
        <v>0</v>
      </c>
      <c r="Y54" s="53">
        <f t="shared" si="31"/>
        <v>0.6</v>
      </c>
      <c r="Z54" s="53">
        <f t="shared" si="32"/>
        <v>4123</v>
      </c>
      <c r="AA54" s="53">
        <f t="shared" si="33"/>
        <v>0.22</v>
      </c>
      <c r="AB54" s="147">
        <f t="shared" si="34"/>
        <v>0</v>
      </c>
      <c r="AC54" s="53"/>
    </row>
    <row r="55" customHeight="1" outlineLevel="1" spans="1:29">
      <c r="A55" s="43">
        <v>19</v>
      </c>
      <c r="B55" s="43" t="s">
        <v>80</v>
      </c>
      <c r="C55" s="43" t="s">
        <v>81</v>
      </c>
      <c r="D55" s="43" t="s">
        <v>67</v>
      </c>
      <c r="E55" s="45" t="s">
        <v>82</v>
      </c>
      <c r="F55" s="46" t="s">
        <v>83</v>
      </c>
      <c r="G55" s="65"/>
      <c r="H55" s="43" t="str">
        <f>VLOOKUP(D55,{"简单","6676";"中等","8901";"复杂","14244"},2,0)</f>
        <v>8901</v>
      </c>
      <c r="I55" s="43">
        <v>1.8</v>
      </c>
      <c r="J55" s="55">
        <f t="shared" si="22"/>
        <v>0</v>
      </c>
      <c r="K55" s="46">
        <v>0.22</v>
      </c>
      <c r="L55" s="55">
        <f t="shared" si="23"/>
        <v>0</v>
      </c>
      <c r="M55" s="125">
        <f t="shared" si="24"/>
        <v>0</v>
      </c>
      <c r="N55" s="87" t="s">
        <v>65</v>
      </c>
      <c r="O55" s="126"/>
      <c r="P55" s="128"/>
      <c r="Q55" s="128">
        <f t="shared" si="25"/>
        <v>0</v>
      </c>
      <c r="R55" s="128">
        <f t="shared" si="26"/>
        <v>1.8</v>
      </c>
      <c r="S55" s="128" t="str">
        <f t="shared" si="27"/>
        <v>8901</v>
      </c>
      <c r="T55" s="128">
        <f t="shared" si="28"/>
        <v>0.22</v>
      </c>
      <c r="U55" s="140">
        <f t="shared" si="29"/>
        <v>0</v>
      </c>
      <c r="V55" s="128"/>
      <c r="W55" s="53"/>
      <c r="X55" s="53">
        <f t="shared" si="30"/>
        <v>0</v>
      </c>
      <c r="Y55" s="53">
        <f t="shared" si="31"/>
        <v>1.8</v>
      </c>
      <c r="Z55" s="53" t="str">
        <f t="shared" si="32"/>
        <v>8901</v>
      </c>
      <c r="AA55" s="53">
        <f t="shared" si="33"/>
        <v>0.22</v>
      </c>
      <c r="AB55" s="147">
        <f t="shared" si="34"/>
        <v>0</v>
      </c>
      <c r="AC55" s="53"/>
    </row>
    <row r="56" customHeight="1" outlineLevel="1" spans="1:29">
      <c r="A56" s="43">
        <v>20</v>
      </c>
      <c r="B56" s="43"/>
      <c r="C56" s="43" t="s">
        <v>81</v>
      </c>
      <c r="D56" s="43" t="s">
        <v>63</v>
      </c>
      <c r="E56" s="45" t="s">
        <v>82</v>
      </c>
      <c r="F56" s="46" t="s">
        <v>83</v>
      </c>
      <c r="G56" s="65"/>
      <c r="H56" s="43" t="str">
        <f>VLOOKUP(D56,{"简单","6676";"中等","8901";"复杂","14244"},2,0)</f>
        <v>14244</v>
      </c>
      <c r="I56" s="43">
        <v>1.5</v>
      </c>
      <c r="J56" s="55">
        <f t="shared" si="22"/>
        <v>0</v>
      </c>
      <c r="K56" s="46">
        <v>0.22</v>
      </c>
      <c r="L56" s="55">
        <f t="shared" si="23"/>
        <v>0</v>
      </c>
      <c r="M56" s="125">
        <f t="shared" si="24"/>
        <v>0</v>
      </c>
      <c r="N56" s="87"/>
      <c r="O56" s="126"/>
      <c r="P56" s="128"/>
      <c r="Q56" s="128">
        <f t="shared" si="25"/>
        <v>0</v>
      </c>
      <c r="R56" s="128">
        <f t="shared" si="26"/>
        <v>1.5</v>
      </c>
      <c r="S56" s="128" t="str">
        <f t="shared" si="27"/>
        <v>14244</v>
      </c>
      <c r="T56" s="128">
        <f t="shared" si="28"/>
        <v>0.22</v>
      </c>
      <c r="U56" s="140">
        <f t="shared" si="29"/>
        <v>0</v>
      </c>
      <c r="V56" s="128"/>
      <c r="W56" s="53"/>
      <c r="X56" s="53">
        <f t="shared" si="30"/>
        <v>0</v>
      </c>
      <c r="Y56" s="53">
        <f t="shared" si="31"/>
        <v>1.5</v>
      </c>
      <c r="Z56" s="53" t="str">
        <f t="shared" si="32"/>
        <v>14244</v>
      </c>
      <c r="AA56" s="53">
        <f t="shared" si="33"/>
        <v>0.22</v>
      </c>
      <c r="AB56" s="147">
        <f t="shared" si="34"/>
        <v>0</v>
      </c>
      <c r="AC56" s="53"/>
    </row>
    <row r="57" customHeight="1" outlineLevel="1" spans="1:29">
      <c r="A57" s="43">
        <v>21</v>
      </c>
      <c r="B57" s="43"/>
      <c r="C57" s="43" t="s">
        <v>86</v>
      </c>
      <c r="D57" s="43" t="s">
        <v>67</v>
      </c>
      <c r="E57" s="45" t="s">
        <v>87</v>
      </c>
      <c r="F57" s="46" t="s">
        <v>83</v>
      </c>
      <c r="G57" s="65"/>
      <c r="H57" s="43" t="str">
        <f>VLOOKUP(D57,{"简单","33383";"中等","44510";"复杂","71216"},2,0)</f>
        <v>44510</v>
      </c>
      <c r="I57" s="43">
        <v>1.8</v>
      </c>
      <c r="J57" s="55">
        <f t="shared" si="22"/>
        <v>0</v>
      </c>
      <c r="K57" s="46">
        <v>0.22</v>
      </c>
      <c r="L57" s="55">
        <f t="shared" si="23"/>
        <v>0</v>
      </c>
      <c r="M57" s="125">
        <f t="shared" si="24"/>
        <v>0</v>
      </c>
      <c r="N57" s="87"/>
      <c r="O57" s="126"/>
      <c r="P57" s="128"/>
      <c r="Q57" s="128">
        <f t="shared" si="25"/>
        <v>0</v>
      </c>
      <c r="R57" s="128">
        <f t="shared" si="26"/>
        <v>1.8</v>
      </c>
      <c r="S57" s="128" t="str">
        <f t="shared" si="27"/>
        <v>44510</v>
      </c>
      <c r="T57" s="128">
        <f t="shared" si="28"/>
        <v>0.22</v>
      </c>
      <c r="U57" s="140">
        <f t="shared" si="29"/>
        <v>0</v>
      </c>
      <c r="V57" s="128"/>
      <c r="W57" s="53"/>
      <c r="X57" s="53">
        <f t="shared" si="30"/>
        <v>0</v>
      </c>
      <c r="Y57" s="53">
        <f t="shared" si="31"/>
        <v>1.8</v>
      </c>
      <c r="Z57" s="53" t="str">
        <f t="shared" si="32"/>
        <v>44510</v>
      </c>
      <c r="AA57" s="53">
        <f t="shared" si="33"/>
        <v>0.22</v>
      </c>
      <c r="AB57" s="147">
        <f t="shared" si="34"/>
        <v>0</v>
      </c>
      <c r="AC57" s="53"/>
    </row>
    <row r="58" customHeight="1" outlineLevel="1" spans="1:29">
      <c r="A58" s="43">
        <v>22</v>
      </c>
      <c r="B58" s="43"/>
      <c r="C58" s="43" t="s">
        <v>86</v>
      </c>
      <c r="D58" s="43" t="s">
        <v>63</v>
      </c>
      <c r="E58" s="45" t="s">
        <v>87</v>
      </c>
      <c r="F58" s="46" t="s">
        <v>83</v>
      </c>
      <c r="G58" s="65"/>
      <c r="H58" s="43" t="str">
        <f>VLOOKUP(D58,{"简单","33383";"中等","44510";"复杂","71216"},2,0)</f>
        <v>71216</v>
      </c>
      <c r="I58" s="43">
        <v>1.5</v>
      </c>
      <c r="J58" s="55">
        <f t="shared" si="22"/>
        <v>0</v>
      </c>
      <c r="K58" s="46">
        <v>0.22</v>
      </c>
      <c r="L58" s="55">
        <f t="shared" si="23"/>
        <v>0</v>
      </c>
      <c r="M58" s="125">
        <f t="shared" si="24"/>
        <v>0</v>
      </c>
      <c r="N58" s="87"/>
      <c r="O58" s="126"/>
      <c r="P58" s="128"/>
      <c r="Q58" s="128">
        <f t="shared" si="25"/>
        <v>0</v>
      </c>
      <c r="R58" s="128">
        <f t="shared" si="26"/>
        <v>1.5</v>
      </c>
      <c r="S58" s="128" t="str">
        <f t="shared" si="27"/>
        <v>71216</v>
      </c>
      <c r="T58" s="128">
        <f t="shared" si="28"/>
        <v>0.22</v>
      </c>
      <c r="U58" s="140">
        <f t="shared" si="29"/>
        <v>0</v>
      </c>
      <c r="V58" s="128"/>
      <c r="W58" s="53"/>
      <c r="X58" s="53">
        <f t="shared" si="30"/>
        <v>0</v>
      </c>
      <c r="Y58" s="53">
        <f t="shared" si="31"/>
        <v>1.5</v>
      </c>
      <c r="Z58" s="53" t="str">
        <f t="shared" si="32"/>
        <v>71216</v>
      </c>
      <c r="AA58" s="53">
        <f t="shared" si="33"/>
        <v>0.22</v>
      </c>
      <c r="AB58" s="147">
        <f t="shared" si="34"/>
        <v>0</v>
      </c>
      <c r="AC58" s="53"/>
    </row>
    <row r="59" customHeight="1" outlineLevel="1" spans="1:29">
      <c r="A59" s="43">
        <v>23</v>
      </c>
      <c r="B59" s="43"/>
      <c r="C59" s="43" t="s">
        <v>88</v>
      </c>
      <c r="D59" s="43" t="s">
        <v>67</v>
      </c>
      <c r="E59" s="45" t="s">
        <v>89</v>
      </c>
      <c r="F59" s="46" t="s">
        <v>83</v>
      </c>
      <c r="G59" s="65"/>
      <c r="H59" s="43" t="str">
        <f>VLOOKUP(D59,{"简单","15174";"中等","20232";"复杂","32374"},2,0)</f>
        <v>20232</v>
      </c>
      <c r="I59" s="43">
        <v>1.5</v>
      </c>
      <c r="J59" s="55">
        <f t="shared" si="22"/>
        <v>0</v>
      </c>
      <c r="K59" s="46">
        <v>0.22</v>
      </c>
      <c r="L59" s="55">
        <f t="shared" si="23"/>
        <v>0</v>
      </c>
      <c r="M59" s="125">
        <f t="shared" si="24"/>
        <v>0</v>
      </c>
      <c r="N59" s="87"/>
      <c r="O59" s="126"/>
      <c r="P59" s="128"/>
      <c r="Q59" s="128">
        <f t="shared" si="25"/>
        <v>0</v>
      </c>
      <c r="R59" s="128">
        <f t="shared" si="26"/>
        <v>1.5</v>
      </c>
      <c r="S59" s="128" t="str">
        <f t="shared" si="27"/>
        <v>20232</v>
      </c>
      <c r="T59" s="128">
        <f t="shared" si="28"/>
        <v>0.22</v>
      </c>
      <c r="U59" s="140">
        <f t="shared" si="29"/>
        <v>0</v>
      </c>
      <c r="V59" s="128"/>
      <c r="W59" s="53"/>
      <c r="X59" s="53">
        <f t="shared" si="30"/>
        <v>0</v>
      </c>
      <c r="Y59" s="53">
        <f t="shared" si="31"/>
        <v>1.5</v>
      </c>
      <c r="Z59" s="53" t="str">
        <f t="shared" si="32"/>
        <v>20232</v>
      </c>
      <c r="AA59" s="53">
        <f t="shared" si="33"/>
        <v>0.22</v>
      </c>
      <c r="AB59" s="147">
        <f t="shared" si="34"/>
        <v>0</v>
      </c>
      <c r="AC59" s="53"/>
    </row>
    <row r="60" customHeight="1" outlineLevel="1" spans="1:29">
      <c r="A60" s="43">
        <v>24</v>
      </c>
      <c r="B60" s="43"/>
      <c r="C60" s="43" t="s">
        <v>90</v>
      </c>
      <c r="D60" s="43" t="s">
        <v>67</v>
      </c>
      <c r="E60" s="45" t="s">
        <v>89</v>
      </c>
      <c r="F60" s="46" t="s">
        <v>83</v>
      </c>
      <c r="G60" s="43"/>
      <c r="H60" s="43" t="str">
        <f>VLOOKUP(D60,{"简单","40464";"中等","53817";"复杂","75680"},2,0)</f>
        <v>53817</v>
      </c>
      <c r="I60" s="43">
        <v>1.5</v>
      </c>
      <c r="J60" s="55">
        <f t="shared" si="22"/>
        <v>0</v>
      </c>
      <c r="K60" s="46">
        <v>0.22</v>
      </c>
      <c r="L60" s="55">
        <f t="shared" si="23"/>
        <v>0</v>
      </c>
      <c r="M60" s="125">
        <f t="shared" si="24"/>
        <v>0</v>
      </c>
      <c r="N60" s="87" t="s">
        <v>104</v>
      </c>
      <c r="O60" s="126"/>
      <c r="P60" s="128"/>
      <c r="Q60" s="128">
        <f t="shared" si="25"/>
        <v>0</v>
      </c>
      <c r="R60" s="128">
        <f t="shared" si="26"/>
        <v>1.5</v>
      </c>
      <c r="S60" s="128" t="str">
        <f t="shared" si="27"/>
        <v>53817</v>
      </c>
      <c r="T60" s="128">
        <f t="shared" si="28"/>
        <v>0.22</v>
      </c>
      <c r="U60" s="140">
        <f t="shared" si="29"/>
        <v>0</v>
      </c>
      <c r="V60" s="128"/>
      <c r="W60" s="53"/>
      <c r="X60" s="53">
        <f t="shared" si="30"/>
        <v>0</v>
      </c>
      <c r="Y60" s="53">
        <f t="shared" si="31"/>
        <v>1.5</v>
      </c>
      <c r="Z60" s="53" t="str">
        <f t="shared" si="32"/>
        <v>53817</v>
      </c>
      <c r="AA60" s="53">
        <f t="shared" si="33"/>
        <v>0.22</v>
      </c>
      <c r="AB60" s="147">
        <f t="shared" si="34"/>
        <v>0</v>
      </c>
      <c r="AC60" s="53"/>
    </row>
    <row r="61" customHeight="1" outlineLevel="1" spans="1:29">
      <c r="A61" s="43">
        <v>25</v>
      </c>
      <c r="B61" s="43"/>
      <c r="C61" s="43" t="s">
        <v>92</v>
      </c>
      <c r="D61" s="43" t="s">
        <v>63</v>
      </c>
      <c r="E61" s="45" t="s">
        <v>89</v>
      </c>
      <c r="F61" s="46" t="s">
        <v>83</v>
      </c>
      <c r="G61" s="43"/>
      <c r="H61" s="43" t="str">
        <f>VLOOKUP(D61,{"简单","15174";"中等","20232";"复杂","32374"},2,0)</f>
        <v>32374</v>
      </c>
      <c r="I61" s="43">
        <v>1.5</v>
      </c>
      <c r="J61" s="55">
        <f t="shared" si="22"/>
        <v>0</v>
      </c>
      <c r="K61" s="46">
        <v>0.22</v>
      </c>
      <c r="L61" s="55">
        <f t="shared" si="23"/>
        <v>0</v>
      </c>
      <c r="M61" s="125">
        <f t="shared" si="24"/>
        <v>0</v>
      </c>
      <c r="N61" s="87" t="s">
        <v>93</v>
      </c>
      <c r="O61" s="126"/>
      <c r="P61" s="128"/>
      <c r="Q61" s="128">
        <f t="shared" si="25"/>
        <v>0</v>
      </c>
      <c r="R61" s="128">
        <f t="shared" si="26"/>
        <v>1.5</v>
      </c>
      <c r="S61" s="128" t="str">
        <f t="shared" si="27"/>
        <v>32374</v>
      </c>
      <c r="T61" s="128">
        <f t="shared" si="28"/>
        <v>0.22</v>
      </c>
      <c r="U61" s="140">
        <f t="shared" si="29"/>
        <v>0</v>
      </c>
      <c r="V61" s="128"/>
      <c r="W61" s="53"/>
      <c r="X61" s="53">
        <f t="shared" si="30"/>
        <v>0</v>
      </c>
      <c r="Y61" s="53">
        <f t="shared" si="31"/>
        <v>1.5</v>
      </c>
      <c r="Z61" s="53" t="str">
        <f t="shared" si="32"/>
        <v>32374</v>
      </c>
      <c r="AA61" s="53">
        <f t="shared" si="33"/>
        <v>0.22</v>
      </c>
      <c r="AB61" s="147">
        <f t="shared" si="34"/>
        <v>0</v>
      </c>
      <c r="AC61" s="53"/>
    </row>
    <row r="62" customHeight="1" outlineLevel="1" spans="1:29">
      <c r="A62" s="43">
        <v>26</v>
      </c>
      <c r="B62" s="43"/>
      <c r="C62" s="53" t="s">
        <v>94</v>
      </c>
      <c r="D62" s="53" t="s">
        <v>63</v>
      </c>
      <c r="E62" s="45" t="s">
        <v>89</v>
      </c>
      <c r="F62" s="46" t="s">
        <v>83</v>
      </c>
      <c r="G62" s="43"/>
      <c r="H62" s="43" t="str">
        <f>VLOOKUP(D62,{"简单","15174";"中等","20232";"复杂","32374"},2,0)</f>
        <v>32374</v>
      </c>
      <c r="I62" s="43">
        <v>1.8</v>
      </c>
      <c r="J62" s="55">
        <f t="shared" si="22"/>
        <v>0</v>
      </c>
      <c r="K62" s="46">
        <v>0.22</v>
      </c>
      <c r="L62" s="55">
        <f t="shared" si="23"/>
        <v>0</v>
      </c>
      <c r="M62" s="125">
        <f t="shared" si="24"/>
        <v>0</v>
      </c>
      <c r="N62" s="87"/>
      <c r="O62" s="126"/>
      <c r="P62" s="128"/>
      <c r="Q62" s="128">
        <f t="shared" si="25"/>
        <v>0</v>
      </c>
      <c r="R62" s="128">
        <f t="shared" si="26"/>
        <v>1.8</v>
      </c>
      <c r="S62" s="128" t="str">
        <f t="shared" si="27"/>
        <v>32374</v>
      </c>
      <c r="T62" s="128">
        <f t="shared" si="28"/>
        <v>0.22</v>
      </c>
      <c r="U62" s="140">
        <f t="shared" si="29"/>
        <v>0</v>
      </c>
      <c r="V62" s="128"/>
      <c r="W62" s="53"/>
      <c r="X62" s="53">
        <f t="shared" si="30"/>
        <v>0</v>
      </c>
      <c r="Y62" s="53">
        <f t="shared" si="31"/>
        <v>1.8</v>
      </c>
      <c r="Z62" s="53" t="str">
        <f t="shared" si="32"/>
        <v>32374</v>
      </c>
      <c r="AA62" s="53">
        <f t="shared" si="33"/>
        <v>0.22</v>
      </c>
      <c r="AB62" s="147">
        <f t="shared" si="34"/>
        <v>0</v>
      </c>
      <c r="AC62" s="53"/>
    </row>
    <row r="63" customHeight="1" outlineLevel="1" spans="1:29">
      <c r="A63" s="43">
        <v>27</v>
      </c>
      <c r="B63" s="43"/>
      <c r="C63" s="43" t="s">
        <v>95</v>
      </c>
      <c r="D63" s="43" t="s">
        <v>63</v>
      </c>
      <c r="E63" s="45" t="s">
        <v>87</v>
      </c>
      <c r="F63" s="46" t="s">
        <v>83</v>
      </c>
      <c r="G63" s="43">
        <v>0.25</v>
      </c>
      <c r="H63" s="43" t="str">
        <f>VLOOKUP(D63,{"简单","33383";"中等","44510";"复杂","71216"},2,0)</f>
        <v>71216</v>
      </c>
      <c r="I63" s="43">
        <v>1.8</v>
      </c>
      <c r="J63" s="55">
        <f t="shared" si="22"/>
        <v>32047.2</v>
      </c>
      <c r="K63" s="46">
        <v>0.22</v>
      </c>
      <c r="L63" s="55">
        <f t="shared" si="23"/>
        <v>7050.384</v>
      </c>
      <c r="M63" s="125">
        <f t="shared" si="24"/>
        <v>39097.584</v>
      </c>
      <c r="N63" s="87"/>
      <c r="O63" s="126"/>
      <c r="P63" s="128"/>
      <c r="Q63" s="128">
        <f t="shared" si="25"/>
        <v>0.25</v>
      </c>
      <c r="R63" s="128">
        <f t="shared" si="26"/>
        <v>1.8</v>
      </c>
      <c r="S63" s="128" t="str">
        <f t="shared" si="27"/>
        <v>71216</v>
      </c>
      <c r="T63" s="128">
        <f t="shared" si="28"/>
        <v>0.22</v>
      </c>
      <c r="U63" s="140">
        <f t="shared" si="29"/>
        <v>39097.584</v>
      </c>
      <c r="V63" s="128"/>
      <c r="W63" s="53"/>
      <c r="X63" s="53">
        <f t="shared" si="30"/>
        <v>0.25</v>
      </c>
      <c r="Y63" s="53">
        <f t="shared" si="31"/>
        <v>1.8</v>
      </c>
      <c r="Z63" s="53" t="str">
        <f t="shared" si="32"/>
        <v>71216</v>
      </c>
      <c r="AA63" s="53">
        <f t="shared" si="33"/>
        <v>0.22</v>
      </c>
      <c r="AB63" s="147">
        <f t="shared" si="34"/>
        <v>39097.584</v>
      </c>
      <c r="AC63" s="53"/>
    </row>
    <row r="64" customHeight="1" outlineLevel="1" spans="1:29">
      <c r="A64" s="43">
        <v>28</v>
      </c>
      <c r="B64" s="43"/>
      <c r="C64" s="43" t="s">
        <v>96</v>
      </c>
      <c r="D64" s="43" t="s">
        <v>67</v>
      </c>
      <c r="E64" s="45" t="s">
        <v>82</v>
      </c>
      <c r="F64" s="46" t="s">
        <v>83</v>
      </c>
      <c r="G64" s="43">
        <v>1.44</v>
      </c>
      <c r="H64" s="43" t="str">
        <f>VLOOKUP(D64,{"简单","6676";"中等","8901";"复杂","14244"},2,0)</f>
        <v>8901</v>
      </c>
      <c r="I64" s="43">
        <v>1.8</v>
      </c>
      <c r="J64" s="55">
        <f t="shared" si="22"/>
        <v>23071.392</v>
      </c>
      <c r="K64" s="46">
        <v>0.22</v>
      </c>
      <c r="L64" s="55">
        <f t="shared" si="23"/>
        <v>5075.70624</v>
      </c>
      <c r="M64" s="125">
        <f t="shared" si="24"/>
        <v>28147.09824</v>
      </c>
      <c r="N64" s="87"/>
      <c r="O64" s="126"/>
      <c r="P64" s="128"/>
      <c r="Q64" s="128">
        <f t="shared" si="25"/>
        <v>1.44</v>
      </c>
      <c r="R64" s="128">
        <f t="shared" si="26"/>
        <v>1.8</v>
      </c>
      <c r="S64" s="128" t="str">
        <f t="shared" si="27"/>
        <v>8901</v>
      </c>
      <c r="T64" s="128">
        <f t="shared" si="28"/>
        <v>0.22</v>
      </c>
      <c r="U64" s="140">
        <f t="shared" si="29"/>
        <v>28147.09824</v>
      </c>
      <c r="V64" s="128"/>
      <c r="W64" s="53"/>
      <c r="X64" s="53">
        <f t="shared" si="30"/>
        <v>1.44</v>
      </c>
      <c r="Y64" s="53">
        <f t="shared" si="31"/>
        <v>1.8</v>
      </c>
      <c r="Z64" s="53" t="str">
        <f t="shared" si="32"/>
        <v>8901</v>
      </c>
      <c r="AA64" s="53">
        <f t="shared" si="33"/>
        <v>0.22</v>
      </c>
      <c r="AB64" s="147">
        <f t="shared" si="34"/>
        <v>28147.09824</v>
      </c>
      <c r="AC64" s="53"/>
    </row>
    <row r="65" customHeight="1" outlineLevel="1" spans="1:29">
      <c r="A65" s="43">
        <v>29</v>
      </c>
      <c r="B65" s="43"/>
      <c r="C65" s="43" t="s">
        <v>97</v>
      </c>
      <c r="D65" s="43" t="s">
        <v>63</v>
      </c>
      <c r="E65" s="45" t="s">
        <v>87</v>
      </c>
      <c r="F65" s="46" t="s">
        <v>83</v>
      </c>
      <c r="G65" s="43">
        <v>0.09</v>
      </c>
      <c r="H65" s="43" t="str">
        <f>VLOOKUP(D65,{"简单","33383";"中等","44510";"复杂","71216"},2,0)</f>
        <v>71216</v>
      </c>
      <c r="I65" s="43">
        <v>1.8</v>
      </c>
      <c r="J65" s="55">
        <f t="shared" si="22"/>
        <v>11536.992</v>
      </c>
      <c r="K65" s="46">
        <v>0.22</v>
      </c>
      <c r="L65" s="55">
        <f t="shared" si="23"/>
        <v>2538.13824</v>
      </c>
      <c r="M65" s="125">
        <f t="shared" si="24"/>
        <v>14075.13024</v>
      </c>
      <c r="N65" s="87"/>
      <c r="O65" s="126"/>
      <c r="P65" s="128"/>
      <c r="Q65" s="128">
        <f t="shared" si="25"/>
        <v>0.09</v>
      </c>
      <c r="R65" s="128">
        <f t="shared" si="26"/>
        <v>1.8</v>
      </c>
      <c r="S65" s="128" t="str">
        <f t="shared" si="27"/>
        <v>71216</v>
      </c>
      <c r="T65" s="128">
        <f t="shared" si="28"/>
        <v>0.22</v>
      </c>
      <c r="U65" s="140">
        <f t="shared" si="29"/>
        <v>14075.13024</v>
      </c>
      <c r="V65" s="128"/>
      <c r="W65" s="53"/>
      <c r="X65" s="53">
        <f t="shared" si="30"/>
        <v>0.09</v>
      </c>
      <c r="Y65" s="53">
        <f t="shared" si="31"/>
        <v>1.8</v>
      </c>
      <c r="Z65" s="53" t="str">
        <f t="shared" si="32"/>
        <v>71216</v>
      </c>
      <c r="AA65" s="53">
        <f t="shared" si="33"/>
        <v>0.22</v>
      </c>
      <c r="AB65" s="147">
        <f t="shared" si="34"/>
        <v>14075.13024</v>
      </c>
      <c r="AC65" s="53"/>
    </row>
    <row r="66" customHeight="1" outlineLevel="1" spans="1:29">
      <c r="A66" s="43">
        <v>30</v>
      </c>
      <c r="B66" s="43"/>
      <c r="C66" s="43" t="s">
        <v>97</v>
      </c>
      <c r="D66" s="43" t="s">
        <v>67</v>
      </c>
      <c r="E66" s="45" t="s">
        <v>87</v>
      </c>
      <c r="F66" s="46" t="s">
        <v>83</v>
      </c>
      <c r="G66" s="43"/>
      <c r="H66" s="43" t="str">
        <f>VLOOKUP(D66,{"简单","33383";"中等","44510";"复杂","71216"},2,0)</f>
        <v>44510</v>
      </c>
      <c r="I66" s="43">
        <v>1.5</v>
      </c>
      <c r="J66" s="55">
        <f t="shared" si="22"/>
        <v>0</v>
      </c>
      <c r="K66" s="46">
        <v>0.22</v>
      </c>
      <c r="L66" s="55">
        <f t="shared" si="23"/>
        <v>0</v>
      </c>
      <c r="M66" s="125">
        <f t="shared" si="24"/>
        <v>0</v>
      </c>
      <c r="N66" s="87"/>
      <c r="O66" s="126"/>
      <c r="P66" s="128"/>
      <c r="Q66" s="128">
        <f t="shared" si="25"/>
        <v>0</v>
      </c>
      <c r="R66" s="128">
        <f t="shared" si="26"/>
        <v>1.5</v>
      </c>
      <c r="S66" s="128" t="str">
        <f t="shared" si="27"/>
        <v>44510</v>
      </c>
      <c r="T66" s="128">
        <f t="shared" si="28"/>
        <v>0.22</v>
      </c>
      <c r="U66" s="140">
        <f t="shared" si="29"/>
        <v>0</v>
      </c>
      <c r="V66" s="128"/>
      <c r="W66" s="53"/>
      <c r="X66" s="53">
        <f t="shared" si="30"/>
        <v>0</v>
      </c>
      <c r="Y66" s="53">
        <f t="shared" si="31"/>
        <v>1.5</v>
      </c>
      <c r="Z66" s="53" t="str">
        <f t="shared" si="32"/>
        <v>44510</v>
      </c>
      <c r="AA66" s="53">
        <f t="shared" si="33"/>
        <v>0.22</v>
      </c>
      <c r="AB66" s="147">
        <f t="shared" si="34"/>
        <v>0</v>
      </c>
      <c r="AC66" s="53"/>
    </row>
    <row r="67" customHeight="1" outlineLevel="1" spans="1:29">
      <c r="A67" s="43">
        <v>31</v>
      </c>
      <c r="B67" s="43"/>
      <c r="C67" s="43" t="s">
        <v>98</v>
      </c>
      <c r="D67" s="43" t="s">
        <v>67</v>
      </c>
      <c r="E67" s="45" t="s">
        <v>87</v>
      </c>
      <c r="F67" s="46" t="s">
        <v>83</v>
      </c>
      <c r="G67" s="43"/>
      <c r="H67" s="43" t="str">
        <f>VLOOKUP(D67,{"简单","33383";"中等","44510";"复杂","71216"},2,0)</f>
        <v>44510</v>
      </c>
      <c r="I67" s="43">
        <v>1.5</v>
      </c>
      <c r="J67" s="55">
        <f t="shared" si="22"/>
        <v>0</v>
      </c>
      <c r="K67" s="46">
        <v>0.22</v>
      </c>
      <c r="L67" s="55">
        <f t="shared" si="23"/>
        <v>0</v>
      </c>
      <c r="M67" s="125">
        <f t="shared" si="24"/>
        <v>0</v>
      </c>
      <c r="N67" s="87"/>
      <c r="O67" s="126"/>
      <c r="P67" s="128"/>
      <c r="Q67" s="128">
        <f t="shared" si="25"/>
        <v>0</v>
      </c>
      <c r="R67" s="128">
        <f t="shared" si="26"/>
        <v>1.5</v>
      </c>
      <c r="S67" s="128" t="str">
        <f t="shared" si="27"/>
        <v>44510</v>
      </c>
      <c r="T67" s="128">
        <f t="shared" si="28"/>
        <v>0.22</v>
      </c>
      <c r="U67" s="140">
        <f t="shared" si="29"/>
        <v>0</v>
      </c>
      <c r="V67" s="128"/>
      <c r="W67" s="53"/>
      <c r="X67" s="53">
        <f t="shared" si="30"/>
        <v>0</v>
      </c>
      <c r="Y67" s="53">
        <f t="shared" si="31"/>
        <v>1.5</v>
      </c>
      <c r="Z67" s="53" t="str">
        <f t="shared" si="32"/>
        <v>44510</v>
      </c>
      <c r="AA67" s="53">
        <f t="shared" si="33"/>
        <v>0.22</v>
      </c>
      <c r="AB67" s="147">
        <f t="shared" si="34"/>
        <v>0</v>
      </c>
      <c r="AC67" s="53"/>
    </row>
    <row r="68" customHeight="1" outlineLevel="1" spans="1:29">
      <c r="A68" s="43">
        <v>32</v>
      </c>
      <c r="B68" s="43" t="s">
        <v>99</v>
      </c>
      <c r="C68" s="43" t="s">
        <v>100</v>
      </c>
      <c r="D68" s="43" t="s">
        <v>67</v>
      </c>
      <c r="E68" s="45" t="s">
        <v>82</v>
      </c>
      <c r="F68" s="46" t="s">
        <v>101</v>
      </c>
      <c r="G68" s="43"/>
      <c r="H68" s="43" t="str">
        <f>VLOOKUP(D68,{"简单","468";"中等","625";"复杂","860"},2,0)</f>
        <v>625</v>
      </c>
      <c r="I68" s="43">
        <v>1.5</v>
      </c>
      <c r="J68" s="55">
        <f t="shared" si="22"/>
        <v>0</v>
      </c>
      <c r="K68" s="46">
        <v>0.22</v>
      </c>
      <c r="L68" s="55">
        <f t="shared" si="23"/>
        <v>0</v>
      </c>
      <c r="M68" s="125">
        <f t="shared" si="24"/>
        <v>0</v>
      </c>
      <c r="N68" s="87"/>
      <c r="O68" s="126"/>
      <c r="P68" s="128"/>
      <c r="Q68" s="128">
        <f t="shared" si="25"/>
        <v>0</v>
      </c>
      <c r="R68" s="128">
        <f t="shared" si="26"/>
        <v>1.5</v>
      </c>
      <c r="S68" s="128" t="str">
        <f t="shared" si="27"/>
        <v>625</v>
      </c>
      <c r="T68" s="128">
        <f t="shared" si="28"/>
        <v>0.22</v>
      </c>
      <c r="U68" s="140">
        <f t="shared" si="29"/>
        <v>0</v>
      </c>
      <c r="V68" s="128"/>
      <c r="W68" s="53"/>
      <c r="X68" s="53">
        <f t="shared" si="30"/>
        <v>0</v>
      </c>
      <c r="Y68" s="53">
        <f t="shared" si="31"/>
        <v>1.5</v>
      </c>
      <c r="Z68" s="53" t="str">
        <f t="shared" si="32"/>
        <v>625</v>
      </c>
      <c r="AA68" s="53">
        <f t="shared" si="33"/>
        <v>0.22</v>
      </c>
      <c r="AB68" s="147">
        <f t="shared" si="34"/>
        <v>0</v>
      </c>
      <c r="AC68" s="53"/>
    </row>
    <row r="69" customHeight="1" outlineLevel="1" spans="1:29">
      <c r="A69" s="43">
        <v>33</v>
      </c>
      <c r="B69" s="43"/>
      <c r="C69" s="43" t="s">
        <v>81</v>
      </c>
      <c r="D69" s="43" t="s">
        <v>63</v>
      </c>
      <c r="E69" s="45" t="s">
        <v>82</v>
      </c>
      <c r="F69" s="46" t="s">
        <v>101</v>
      </c>
      <c r="G69" s="43"/>
      <c r="H69" s="43" t="str">
        <f>VLOOKUP(D69,{"简单","468";"中等","625";"复杂","860"},2,0)</f>
        <v>860</v>
      </c>
      <c r="I69" s="43">
        <v>1.5</v>
      </c>
      <c r="J69" s="55">
        <f t="shared" si="22"/>
        <v>0</v>
      </c>
      <c r="K69" s="46">
        <v>0.22</v>
      </c>
      <c r="L69" s="55">
        <f t="shared" si="23"/>
        <v>0</v>
      </c>
      <c r="M69" s="125">
        <f t="shared" si="24"/>
        <v>0</v>
      </c>
      <c r="N69" s="87"/>
      <c r="O69" s="126"/>
      <c r="P69" s="128"/>
      <c r="Q69" s="128">
        <f t="shared" si="25"/>
        <v>0</v>
      </c>
      <c r="R69" s="128">
        <f t="shared" si="26"/>
        <v>1.5</v>
      </c>
      <c r="S69" s="128" t="str">
        <f t="shared" si="27"/>
        <v>860</v>
      </c>
      <c r="T69" s="128">
        <f t="shared" si="28"/>
        <v>0.22</v>
      </c>
      <c r="U69" s="140">
        <f t="shared" si="29"/>
        <v>0</v>
      </c>
      <c r="V69" s="128"/>
      <c r="W69" s="53"/>
      <c r="X69" s="53">
        <f t="shared" si="30"/>
        <v>0</v>
      </c>
      <c r="Y69" s="53">
        <f t="shared" si="31"/>
        <v>1.5</v>
      </c>
      <c r="Z69" s="53" t="str">
        <f t="shared" si="32"/>
        <v>860</v>
      </c>
      <c r="AA69" s="53">
        <f t="shared" si="33"/>
        <v>0.22</v>
      </c>
      <c r="AB69" s="147">
        <f t="shared" si="34"/>
        <v>0</v>
      </c>
      <c r="AC69" s="53"/>
    </row>
    <row r="70" customHeight="1" outlineLevel="1" spans="1:29">
      <c r="A70" s="43">
        <v>34</v>
      </c>
      <c r="B70" s="43"/>
      <c r="C70" s="43" t="s">
        <v>103</v>
      </c>
      <c r="D70" s="43" t="s">
        <v>63</v>
      </c>
      <c r="E70" s="45" t="s">
        <v>87</v>
      </c>
      <c r="F70" s="46" t="s">
        <v>101</v>
      </c>
      <c r="G70" s="43"/>
      <c r="H70" s="43" t="str">
        <f>VLOOKUP(D70,{"简单","785";"中等","1047";"复杂","1440"},2,0)</f>
        <v>1440</v>
      </c>
      <c r="I70" s="43">
        <v>1.5</v>
      </c>
      <c r="J70" s="55">
        <f t="shared" si="22"/>
        <v>0</v>
      </c>
      <c r="K70" s="46">
        <v>0.22</v>
      </c>
      <c r="L70" s="55">
        <f t="shared" si="23"/>
        <v>0</v>
      </c>
      <c r="M70" s="125">
        <f t="shared" si="24"/>
        <v>0</v>
      </c>
      <c r="N70" s="87"/>
      <c r="O70" s="126"/>
      <c r="P70" s="128"/>
      <c r="Q70" s="128">
        <f t="shared" si="25"/>
        <v>0</v>
      </c>
      <c r="R70" s="128">
        <f t="shared" si="26"/>
        <v>1.5</v>
      </c>
      <c r="S70" s="128" t="str">
        <f t="shared" si="27"/>
        <v>1440</v>
      </c>
      <c r="T70" s="128">
        <f t="shared" si="28"/>
        <v>0.22</v>
      </c>
      <c r="U70" s="140">
        <f t="shared" si="29"/>
        <v>0</v>
      </c>
      <c r="V70" s="128"/>
      <c r="W70" s="53"/>
      <c r="X70" s="53">
        <f t="shared" si="30"/>
        <v>0</v>
      </c>
      <c r="Y70" s="53">
        <f t="shared" si="31"/>
        <v>1.5</v>
      </c>
      <c r="Z70" s="53" t="str">
        <f t="shared" si="32"/>
        <v>1440</v>
      </c>
      <c r="AA70" s="53">
        <f t="shared" si="33"/>
        <v>0.22</v>
      </c>
      <c r="AB70" s="147">
        <f t="shared" si="34"/>
        <v>0</v>
      </c>
      <c r="AC70" s="53"/>
    </row>
    <row r="71" customHeight="1" outlineLevel="1" spans="1:29">
      <c r="A71" s="43">
        <v>35</v>
      </c>
      <c r="B71" s="43"/>
      <c r="C71" s="43" t="s">
        <v>88</v>
      </c>
      <c r="D71" s="43" t="s">
        <v>67</v>
      </c>
      <c r="E71" s="45" t="s">
        <v>89</v>
      </c>
      <c r="F71" s="45" t="s">
        <v>101</v>
      </c>
      <c r="G71" s="43"/>
      <c r="H71" s="43" t="str">
        <f>VLOOKUP(D71,{"简单","607";"中等","809";"复杂","1113"},2,0)</f>
        <v>809</v>
      </c>
      <c r="I71" s="43">
        <v>1.3</v>
      </c>
      <c r="J71" s="55">
        <f t="shared" si="22"/>
        <v>0</v>
      </c>
      <c r="K71" s="46">
        <v>0.22</v>
      </c>
      <c r="L71" s="55">
        <f t="shared" si="23"/>
        <v>0</v>
      </c>
      <c r="M71" s="125">
        <f t="shared" si="24"/>
        <v>0</v>
      </c>
      <c r="N71" s="87"/>
      <c r="O71" s="126"/>
      <c r="P71" s="128"/>
      <c r="Q71" s="128">
        <f t="shared" si="25"/>
        <v>0</v>
      </c>
      <c r="R71" s="128">
        <f t="shared" si="26"/>
        <v>1.3</v>
      </c>
      <c r="S71" s="128" t="str">
        <f t="shared" si="27"/>
        <v>809</v>
      </c>
      <c r="T71" s="128">
        <f t="shared" si="28"/>
        <v>0.22</v>
      </c>
      <c r="U71" s="140">
        <f t="shared" si="29"/>
        <v>0</v>
      </c>
      <c r="V71" s="128"/>
      <c r="W71" s="53"/>
      <c r="X71" s="53">
        <f t="shared" si="30"/>
        <v>0</v>
      </c>
      <c r="Y71" s="53">
        <f t="shared" si="31"/>
        <v>1.3</v>
      </c>
      <c r="Z71" s="53" t="str">
        <f t="shared" si="32"/>
        <v>809</v>
      </c>
      <c r="AA71" s="53">
        <f t="shared" si="33"/>
        <v>0.22</v>
      </c>
      <c r="AB71" s="147">
        <f t="shared" si="34"/>
        <v>0</v>
      </c>
      <c r="AC71" s="53"/>
    </row>
    <row r="72" customHeight="1" outlineLevel="1" spans="1:29">
      <c r="A72" s="43">
        <v>36</v>
      </c>
      <c r="B72" s="43"/>
      <c r="C72" s="43" t="s">
        <v>90</v>
      </c>
      <c r="D72" s="43" t="s">
        <v>67</v>
      </c>
      <c r="E72" s="45" t="s">
        <v>89</v>
      </c>
      <c r="F72" s="45" t="s">
        <v>101</v>
      </c>
      <c r="G72" s="43"/>
      <c r="H72" s="43" t="str">
        <f>VLOOKUP(D72,{"简单","2023";"中等","2698";"复杂","4046"},2,0)</f>
        <v>2698</v>
      </c>
      <c r="I72" s="43">
        <v>1</v>
      </c>
      <c r="J72" s="55">
        <f t="shared" si="22"/>
        <v>0</v>
      </c>
      <c r="K72" s="46">
        <v>0.22</v>
      </c>
      <c r="L72" s="55">
        <f t="shared" si="23"/>
        <v>0</v>
      </c>
      <c r="M72" s="125">
        <f t="shared" si="24"/>
        <v>0</v>
      </c>
      <c r="N72" s="53" t="s">
        <v>104</v>
      </c>
      <c r="O72" s="126"/>
      <c r="P72" s="128"/>
      <c r="Q72" s="128">
        <f t="shared" si="25"/>
        <v>0</v>
      </c>
      <c r="R72" s="128">
        <f t="shared" si="26"/>
        <v>1</v>
      </c>
      <c r="S72" s="128" t="str">
        <f t="shared" si="27"/>
        <v>2698</v>
      </c>
      <c r="T72" s="128">
        <f t="shared" si="28"/>
        <v>0.22</v>
      </c>
      <c r="U72" s="140">
        <f t="shared" si="29"/>
        <v>0</v>
      </c>
      <c r="V72" s="128"/>
      <c r="W72" s="53"/>
      <c r="X72" s="53">
        <f t="shared" si="30"/>
        <v>0</v>
      </c>
      <c r="Y72" s="53">
        <f t="shared" si="31"/>
        <v>1</v>
      </c>
      <c r="Z72" s="53" t="str">
        <f t="shared" si="32"/>
        <v>2698</v>
      </c>
      <c r="AA72" s="53">
        <f t="shared" si="33"/>
        <v>0.22</v>
      </c>
      <c r="AB72" s="147">
        <f t="shared" si="34"/>
        <v>0</v>
      </c>
      <c r="AC72" s="53"/>
    </row>
    <row r="73" customHeight="1" outlineLevel="1" spans="1:29">
      <c r="A73" s="43">
        <v>37</v>
      </c>
      <c r="B73" s="43"/>
      <c r="C73" s="43" t="s">
        <v>92</v>
      </c>
      <c r="D73" s="43" t="s">
        <v>67</v>
      </c>
      <c r="E73" s="45" t="s">
        <v>89</v>
      </c>
      <c r="F73" s="45" t="s">
        <v>101</v>
      </c>
      <c r="G73" s="43"/>
      <c r="H73" s="43" t="str">
        <f>VLOOKUP(D73,{"简单","607";"中等","809";"复杂","1113"},2,0)</f>
        <v>809</v>
      </c>
      <c r="I73" s="43">
        <v>1.5</v>
      </c>
      <c r="J73" s="55">
        <f t="shared" si="22"/>
        <v>0</v>
      </c>
      <c r="K73" s="46">
        <v>0.22</v>
      </c>
      <c r="L73" s="55">
        <f t="shared" si="23"/>
        <v>0</v>
      </c>
      <c r="M73" s="125">
        <f t="shared" si="24"/>
        <v>0</v>
      </c>
      <c r="N73" s="53" t="s">
        <v>93</v>
      </c>
      <c r="O73" s="126"/>
      <c r="P73" s="128"/>
      <c r="Q73" s="128">
        <f t="shared" si="25"/>
        <v>0</v>
      </c>
      <c r="R73" s="128">
        <f t="shared" si="26"/>
        <v>1.5</v>
      </c>
      <c r="S73" s="128" t="str">
        <f t="shared" si="27"/>
        <v>809</v>
      </c>
      <c r="T73" s="128">
        <f t="shared" si="28"/>
        <v>0.22</v>
      </c>
      <c r="U73" s="140">
        <f t="shared" si="29"/>
        <v>0</v>
      </c>
      <c r="V73" s="128"/>
      <c r="W73" s="53"/>
      <c r="X73" s="53">
        <f t="shared" si="30"/>
        <v>0</v>
      </c>
      <c r="Y73" s="53">
        <f t="shared" si="31"/>
        <v>1.5</v>
      </c>
      <c r="Z73" s="53" t="str">
        <f t="shared" si="32"/>
        <v>809</v>
      </c>
      <c r="AA73" s="53">
        <f t="shared" si="33"/>
        <v>0.22</v>
      </c>
      <c r="AB73" s="147">
        <f t="shared" si="34"/>
        <v>0</v>
      </c>
      <c r="AC73" s="53"/>
    </row>
    <row r="74" customHeight="1" outlineLevel="1" spans="1:29">
      <c r="A74" s="43">
        <v>38</v>
      </c>
      <c r="B74" s="43"/>
      <c r="C74" s="53" t="s">
        <v>94</v>
      </c>
      <c r="D74" s="53" t="s">
        <v>63</v>
      </c>
      <c r="E74" s="45" t="s">
        <v>89</v>
      </c>
      <c r="F74" s="46" t="s">
        <v>101</v>
      </c>
      <c r="G74" s="43"/>
      <c r="H74" s="43" t="str">
        <f>VLOOKUP(D74,{"简单","607";"中等","809";"复杂","1113"},2,0)</f>
        <v>1113</v>
      </c>
      <c r="I74" s="43">
        <v>1.5</v>
      </c>
      <c r="J74" s="55">
        <f t="shared" si="22"/>
        <v>0</v>
      </c>
      <c r="K74" s="46">
        <v>0.22</v>
      </c>
      <c r="L74" s="55">
        <f t="shared" si="23"/>
        <v>0</v>
      </c>
      <c r="M74" s="125">
        <f t="shared" si="24"/>
        <v>0</v>
      </c>
      <c r="N74" s="53"/>
      <c r="O74" s="126"/>
      <c r="P74" s="128"/>
      <c r="Q74" s="128">
        <f t="shared" si="25"/>
        <v>0</v>
      </c>
      <c r="R74" s="128">
        <f t="shared" si="26"/>
        <v>1.5</v>
      </c>
      <c r="S74" s="128" t="str">
        <f t="shared" si="27"/>
        <v>1113</v>
      </c>
      <c r="T74" s="128">
        <f t="shared" si="28"/>
        <v>0.22</v>
      </c>
      <c r="U74" s="140">
        <f t="shared" si="29"/>
        <v>0</v>
      </c>
      <c r="V74" s="128"/>
      <c r="W74" s="53"/>
      <c r="X74" s="53">
        <f t="shared" si="30"/>
        <v>0</v>
      </c>
      <c r="Y74" s="53">
        <f t="shared" si="31"/>
        <v>1.5</v>
      </c>
      <c r="Z74" s="53" t="str">
        <f t="shared" si="32"/>
        <v>1113</v>
      </c>
      <c r="AA74" s="53">
        <f t="shared" si="33"/>
        <v>0.22</v>
      </c>
      <c r="AB74" s="147">
        <f t="shared" si="34"/>
        <v>0</v>
      </c>
      <c r="AC74" s="53"/>
    </row>
    <row r="75" customHeight="1" outlineLevel="1" spans="1:29">
      <c r="A75" s="43">
        <v>39</v>
      </c>
      <c r="B75" s="43"/>
      <c r="C75" s="43" t="s">
        <v>98</v>
      </c>
      <c r="D75" s="43" t="s">
        <v>67</v>
      </c>
      <c r="E75" s="45" t="s">
        <v>87</v>
      </c>
      <c r="F75" s="46" t="s">
        <v>101</v>
      </c>
      <c r="G75" s="43"/>
      <c r="H75" s="43" t="str">
        <f>VLOOKUP(D75,{"简单","785";"中等","1047";"复杂","1440"},2,0)</f>
        <v>1047</v>
      </c>
      <c r="I75" s="43">
        <v>1.5</v>
      </c>
      <c r="J75" s="55">
        <f t="shared" si="22"/>
        <v>0</v>
      </c>
      <c r="K75" s="46">
        <v>0.22</v>
      </c>
      <c r="L75" s="55">
        <f t="shared" si="23"/>
        <v>0</v>
      </c>
      <c r="M75" s="125">
        <f t="shared" si="24"/>
        <v>0</v>
      </c>
      <c r="N75" s="53"/>
      <c r="O75" s="126"/>
      <c r="P75" s="128"/>
      <c r="Q75" s="128">
        <f t="shared" si="25"/>
        <v>0</v>
      </c>
      <c r="R75" s="128">
        <f t="shared" si="26"/>
        <v>1.5</v>
      </c>
      <c r="S75" s="128" t="str">
        <f t="shared" si="27"/>
        <v>1047</v>
      </c>
      <c r="T75" s="128">
        <f t="shared" si="28"/>
        <v>0.22</v>
      </c>
      <c r="U75" s="140">
        <f t="shared" si="29"/>
        <v>0</v>
      </c>
      <c r="V75" s="128"/>
      <c r="W75" s="53"/>
      <c r="X75" s="53">
        <f t="shared" si="30"/>
        <v>0</v>
      </c>
      <c r="Y75" s="53">
        <f t="shared" si="31"/>
        <v>1.5</v>
      </c>
      <c r="Z75" s="53" t="str">
        <f t="shared" si="32"/>
        <v>1047</v>
      </c>
      <c r="AA75" s="53">
        <f t="shared" si="33"/>
        <v>0.22</v>
      </c>
      <c r="AB75" s="147">
        <f t="shared" si="34"/>
        <v>0</v>
      </c>
      <c r="AC75" s="53"/>
    </row>
    <row r="76" customHeight="1" outlineLevel="1" spans="1:29">
      <c r="A76" s="43">
        <v>40</v>
      </c>
      <c r="B76" s="112" t="s">
        <v>105</v>
      </c>
      <c r="C76" s="113" t="s">
        <v>106</v>
      </c>
      <c r="D76" s="43" t="s">
        <v>63</v>
      </c>
      <c r="E76" s="45" t="s">
        <v>107</v>
      </c>
      <c r="F76" s="46" t="s">
        <v>101</v>
      </c>
      <c r="G76" s="43">
        <v>1.5</v>
      </c>
      <c r="H76" s="43" t="str">
        <f>VLOOKUP(D76,{"简单","1416";"中等","1700";"复杂","2337"},2,0)</f>
        <v>2337</v>
      </c>
      <c r="I76" s="53">
        <v>1</v>
      </c>
      <c r="J76" s="55">
        <f t="shared" si="22"/>
        <v>3505.5</v>
      </c>
      <c r="K76" s="46">
        <v>0.22</v>
      </c>
      <c r="L76" s="55">
        <f t="shared" si="23"/>
        <v>771.21</v>
      </c>
      <c r="M76" s="125">
        <f t="shared" si="24"/>
        <v>4276.71</v>
      </c>
      <c r="N76" s="53" t="s">
        <v>108</v>
      </c>
      <c r="O76" s="129"/>
      <c r="P76" s="128"/>
      <c r="Q76" s="128">
        <f t="shared" si="25"/>
        <v>1.5</v>
      </c>
      <c r="R76" s="128">
        <f t="shared" si="26"/>
        <v>1</v>
      </c>
      <c r="S76" s="128" t="str">
        <f t="shared" si="27"/>
        <v>2337</v>
      </c>
      <c r="T76" s="128">
        <f t="shared" si="28"/>
        <v>0.22</v>
      </c>
      <c r="U76" s="140">
        <f t="shared" si="29"/>
        <v>4276.71</v>
      </c>
      <c r="V76" s="128"/>
      <c r="W76" s="53"/>
      <c r="X76" s="53">
        <f t="shared" si="30"/>
        <v>1.5</v>
      </c>
      <c r="Y76" s="53">
        <f t="shared" si="31"/>
        <v>1</v>
      </c>
      <c r="Z76" s="53" t="str">
        <f t="shared" si="32"/>
        <v>2337</v>
      </c>
      <c r="AA76" s="53">
        <f t="shared" si="33"/>
        <v>0.22</v>
      </c>
      <c r="AB76" s="147">
        <f t="shared" si="34"/>
        <v>4276.71</v>
      </c>
      <c r="AC76" s="53"/>
    </row>
    <row r="77" customHeight="1" outlineLevel="1" spans="1:29">
      <c r="A77" s="43">
        <v>41</v>
      </c>
      <c r="B77" s="114"/>
      <c r="C77" s="113" t="s">
        <v>110</v>
      </c>
      <c r="D77" s="43" t="s">
        <v>67</v>
      </c>
      <c r="E77" s="45"/>
      <c r="F77" s="46" t="s">
        <v>111</v>
      </c>
      <c r="G77" s="43"/>
      <c r="H77" s="105" t="str">
        <f>VLOOKUP(D77,{"简单","1";"中等","1.5";"复杂","2"},2,0)</f>
        <v>1.5</v>
      </c>
      <c r="I77" s="82">
        <v>1</v>
      </c>
      <c r="J77" s="55">
        <f t="shared" si="22"/>
        <v>0</v>
      </c>
      <c r="K77" s="46">
        <v>0.22</v>
      </c>
      <c r="L77" s="55">
        <f t="shared" si="23"/>
        <v>0</v>
      </c>
      <c r="M77" s="125">
        <f t="shared" si="24"/>
        <v>0</v>
      </c>
      <c r="N77" s="53" t="s">
        <v>112</v>
      </c>
      <c r="O77" s="130"/>
      <c r="P77" s="128"/>
      <c r="Q77" s="128">
        <f t="shared" si="25"/>
        <v>0</v>
      </c>
      <c r="R77" s="128">
        <f t="shared" si="26"/>
        <v>1</v>
      </c>
      <c r="S77" s="128" t="str">
        <f t="shared" si="27"/>
        <v>1.5</v>
      </c>
      <c r="T77" s="128">
        <f t="shared" si="28"/>
        <v>0.22</v>
      </c>
      <c r="U77" s="140">
        <f t="shared" si="29"/>
        <v>0</v>
      </c>
      <c r="V77" s="128"/>
      <c r="W77" s="53"/>
      <c r="X77" s="53">
        <f t="shared" si="30"/>
        <v>0</v>
      </c>
      <c r="Y77" s="53">
        <f t="shared" si="31"/>
        <v>1</v>
      </c>
      <c r="Z77" s="53" t="str">
        <f t="shared" si="32"/>
        <v>1.5</v>
      </c>
      <c r="AA77" s="53">
        <f t="shared" si="33"/>
        <v>0.22</v>
      </c>
      <c r="AB77" s="147">
        <f t="shared" si="34"/>
        <v>0</v>
      </c>
      <c r="AC77" s="53"/>
    </row>
    <row r="78" customHeight="1" outlineLevel="1" spans="1:29">
      <c r="A78" s="43">
        <v>42</v>
      </c>
      <c r="B78" s="94"/>
      <c r="C78" s="105" t="s">
        <v>114</v>
      </c>
      <c r="D78" s="43" t="s">
        <v>63</v>
      </c>
      <c r="E78" s="45" t="s">
        <v>107</v>
      </c>
      <c r="F78" s="46" t="s">
        <v>101</v>
      </c>
      <c r="G78" s="43">
        <v>1.5</v>
      </c>
      <c r="H78" s="91" t="str">
        <f>VLOOKUP(D78,{"简单","2250";"中等","4500";"复杂","7200"},2,0)</f>
        <v>7200</v>
      </c>
      <c r="I78" s="53">
        <v>1</v>
      </c>
      <c r="J78" s="55">
        <f t="shared" si="22"/>
        <v>10800</v>
      </c>
      <c r="K78" s="46">
        <v>0.22</v>
      </c>
      <c r="L78" s="55">
        <f t="shared" si="23"/>
        <v>2376</v>
      </c>
      <c r="M78" s="125">
        <f t="shared" si="24"/>
        <v>13176</v>
      </c>
      <c r="N78" s="53" t="s">
        <v>112</v>
      </c>
      <c r="O78" s="130"/>
      <c r="P78" s="128"/>
      <c r="Q78" s="128">
        <f t="shared" si="25"/>
        <v>1.5</v>
      </c>
      <c r="R78" s="128">
        <f t="shared" si="26"/>
        <v>1</v>
      </c>
      <c r="S78" s="128" t="str">
        <f t="shared" si="27"/>
        <v>7200</v>
      </c>
      <c r="T78" s="128">
        <f t="shared" si="28"/>
        <v>0.22</v>
      </c>
      <c r="U78" s="140">
        <f t="shared" si="29"/>
        <v>13176</v>
      </c>
      <c r="V78" s="128"/>
      <c r="W78" s="53"/>
      <c r="X78" s="53">
        <f t="shared" si="30"/>
        <v>1.5</v>
      </c>
      <c r="Y78" s="53">
        <f t="shared" si="31"/>
        <v>1</v>
      </c>
      <c r="Z78" s="53" t="str">
        <f t="shared" si="32"/>
        <v>7200</v>
      </c>
      <c r="AA78" s="53">
        <f t="shared" si="33"/>
        <v>0.22</v>
      </c>
      <c r="AB78" s="147">
        <f t="shared" si="34"/>
        <v>13176</v>
      </c>
      <c r="AC78" s="53"/>
    </row>
    <row r="79" customHeight="1" spans="1:29">
      <c r="A79" s="115" t="s">
        <v>115</v>
      </c>
      <c r="B79" s="116"/>
      <c r="C79" s="116"/>
      <c r="D79" s="116"/>
      <c r="E79" s="116"/>
      <c r="F79" s="116"/>
      <c r="G79" s="43"/>
      <c r="H79" s="43"/>
      <c r="I79" s="43"/>
      <c r="J79" s="131">
        <f t="shared" ref="J79:M79" si="35">SUM(J44:J78)</f>
        <v>110334.684</v>
      </c>
      <c r="K79" s="132"/>
      <c r="L79" s="131">
        <f t="shared" si="35"/>
        <v>24273.63048</v>
      </c>
      <c r="M79" s="131">
        <f t="shared" si="35"/>
        <v>134608.31448</v>
      </c>
      <c r="N79" s="94"/>
      <c r="O79" s="130"/>
      <c r="P79" s="133" t="s">
        <v>116</v>
      </c>
      <c r="Q79" s="141"/>
      <c r="R79" s="141"/>
      <c r="S79" s="141"/>
      <c r="T79" s="142"/>
      <c r="U79" s="140">
        <f>SUM(U44:U78)</f>
        <v>134608.31448</v>
      </c>
      <c r="V79" s="128"/>
      <c r="W79" s="144" t="s">
        <v>116</v>
      </c>
      <c r="X79" s="145"/>
      <c r="Y79" s="145"/>
      <c r="Z79" s="145"/>
      <c r="AA79" s="148"/>
      <c r="AB79" s="147">
        <f>SUM(AB44:AB78)</f>
        <v>134608.31448</v>
      </c>
      <c r="AC79" s="53"/>
    </row>
    <row r="80" s="107" customFormat="1" customHeight="1" spans="1:29">
      <c r="A80" s="150" t="s">
        <v>121</v>
      </c>
      <c r="B80" s="151"/>
      <c r="C80" s="151"/>
      <c r="D80" s="151"/>
      <c r="E80" s="151"/>
      <c r="F80" s="151"/>
      <c r="G80" s="43"/>
      <c r="H80" s="43"/>
      <c r="I80" s="43"/>
      <c r="J80" s="152"/>
      <c r="K80" s="153"/>
      <c r="L80" s="152"/>
      <c r="M80" s="152">
        <f>+M79+M40</f>
        <v>259838.24496</v>
      </c>
      <c r="N80" s="154"/>
      <c r="O80" s="155"/>
      <c r="U80" s="156"/>
      <c r="W80" s="157"/>
      <c r="X80" s="157"/>
      <c r="Y80" s="157"/>
      <c r="Z80" s="157"/>
      <c r="AA80" s="157"/>
      <c r="AB80" s="158"/>
      <c r="AC80" s="157"/>
    </row>
  </sheetData>
  <mergeCells count="71">
    <mergeCell ref="A1:O1"/>
    <mergeCell ref="A2:F2"/>
    <mergeCell ref="G2:O2"/>
    <mergeCell ref="P2:V2"/>
    <mergeCell ref="W2:AC2"/>
    <mergeCell ref="B3:F3"/>
    <mergeCell ref="G3:J3"/>
    <mergeCell ref="K3:L3"/>
    <mergeCell ref="A40:F40"/>
    <mergeCell ref="P40:T40"/>
    <mergeCell ref="W40:AA40"/>
    <mergeCell ref="A41:O41"/>
    <mergeCell ref="B42:F42"/>
    <mergeCell ref="G42:J42"/>
    <mergeCell ref="K42:L42"/>
    <mergeCell ref="A79:F79"/>
    <mergeCell ref="P79:T79"/>
    <mergeCell ref="W79:AA79"/>
    <mergeCell ref="A80:F80"/>
    <mergeCell ref="A3:A4"/>
    <mergeCell ref="A42:A43"/>
    <mergeCell ref="B5:B15"/>
    <mergeCell ref="B16:B28"/>
    <mergeCell ref="B29:B36"/>
    <mergeCell ref="B37:B39"/>
    <mergeCell ref="B44:B54"/>
    <mergeCell ref="B55:B67"/>
    <mergeCell ref="B68:B75"/>
    <mergeCell ref="B76:B78"/>
    <mergeCell ref="M3:M4"/>
    <mergeCell ref="M42:M43"/>
    <mergeCell ref="N3:N4"/>
    <mergeCell ref="N5:N15"/>
    <mergeCell ref="N16:N20"/>
    <mergeCell ref="N22:N32"/>
    <mergeCell ref="N34:N36"/>
    <mergeCell ref="N42:N43"/>
    <mergeCell ref="N44:N54"/>
    <mergeCell ref="N55:N59"/>
    <mergeCell ref="N61:N71"/>
    <mergeCell ref="N73:N75"/>
    <mergeCell ref="O3:O4"/>
    <mergeCell ref="O42:O43"/>
    <mergeCell ref="P3:P4"/>
    <mergeCell ref="P42:P43"/>
    <mergeCell ref="Q3:Q4"/>
    <mergeCell ref="Q42:Q43"/>
    <mergeCell ref="R3:R4"/>
    <mergeCell ref="R42:R43"/>
    <mergeCell ref="S3:S4"/>
    <mergeCell ref="S42:S43"/>
    <mergeCell ref="T3:T4"/>
    <mergeCell ref="T42:T43"/>
    <mergeCell ref="U3:U4"/>
    <mergeCell ref="U42:U43"/>
    <mergeCell ref="V3:V4"/>
    <mergeCell ref="V42:V43"/>
    <mergeCell ref="W3:W4"/>
    <mergeCell ref="W42:W43"/>
    <mergeCell ref="X3:X4"/>
    <mergeCell ref="X42:X43"/>
    <mergeCell ref="Y3:Y4"/>
    <mergeCell ref="Y42:Y43"/>
    <mergeCell ref="Z3:Z4"/>
    <mergeCell ref="Z42:Z43"/>
    <mergeCell ref="AA3:AA4"/>
    <mergeCell ref="AA42:AA43"/>
    <mergeCell ref="AB3:AB4"/>
    <mergeCell ref="AB42:AB43"/>
    <mergeCell ref="AC3:AC4"/>
    <mergeCell ref="AC42:AC43"/>
  </mergeCells>
  <dataValidations count="4">
    <dataValidation type="list" allowBlank="1" showInputMessage="1" showErrorMessage="1" sqref="D11 D50">
      <formula1>"GPS测量C级,GPS测量D级,GPS测量E级,三角（边）"</formula1>
    </dataValidation>
    <dataValidation type="list" allowBlank="1" showInputMessage="1" showErrorMessage="1" sqref="D39 D78">
      <formula1>"简单,中等,复杂"</formula1>
    </dataValidation>
    <dataValidation type="list" allowBlank="1" showInputMessage="1" showErrorMessage="1" sqref="D5:D10 D12:D15 D44:D49 D51:D54">
      <formula1>"GPS测量C级,GPS测量D级,GPS测量E级,三角（边）一级"</formula1>
    </dataValidation>
    <dataValidation type="list" allowBlank="1" showInputMessage="1" showErrorMessage="1" sqref="D16:D38 D55:D77 E5:E15 E44:E54">
      <formula1>"Ⅰ类,Ⅱ类,Ⅲ类,简单,中等,复杂"</formula1>
    </dataValidation>
  </dataValidations>
  <pageMargins left="0.786805555555556" right="0.590277777777778" top="0.786805555555556" bottom="0.590277777777778" header="0.5" footer="0.196527777777778"/>
  <pageSetup paperSize="9" orientation="landscape" horizontalDpi="600"/>
  <headerFooter>
    <oddFooter>&amp;L&amp;G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E210"/>
  <sheetViews>
    <sheetView showGridLines="0" showZeros="0" tabSelected="1" view="pageBreakPreview" zoomScale="70" zoomScaleNormal="85" workbookViewId="0">
      <pane ySplit="4" topLeftCell="A5" activePane="bottomLeft" state="frozen"/>
      <selection/>
      <selection pane="bottomLeft" activeCell="K27" sqref="K27"/>
    </sheetView>
  </sheetViews>
  <sheetFormatPr defaultColWidth="9" defaultRowHeight="22.5" customHeight="1"/>
  <cols>
    <col min="1" max="1" width="5.63636363636364" style="25" customWidth="1"/>
    <col min="2" max="2" width="5.44545454545455" style="25" customWidth="1"/>
    <col min="3" max="3" width="12.1818181818182" style="25" customWidth="1"/>
    <col min="4" max="4" width="8.60909090909091" style="25" customWidth="1"/>
    <col min="5" max="5" width="12.0909090909091" style="26" customWidth="1"/>
    <col min="6" max="6" width="7.45454545454545" style="25" customWidth="1"/>
    <col min="7" max="7" width="9.17272727272727" style="25" customWidth="1"/>
    <col min="8" max="8" width="7.09090909090909" style="25" customWidth="1"/>
    <col min="9" max="9" width="9.88181818181818" style="25" customWidth="1"/>
    <col min="10" max="10" width="5.81818181818182" style="27" customWidth="1"/>
    <col min="11" max="11" width="9.90909090909091" style="28" customWidth="1"/>
    <col min="12" max="12" width="6.09090909090909" style="25" customWidth="1"/>
    <col min="13" max="13" width="5.45454545454545" style="29" customWidth="1"/>
    <col min="14" max="14" width="9.72727272727273" style="30" customWidth="1"/>
    <col min="15" max="15" width="11.2727272727273" style="30" customWidth="1"/>
    <col min="16" max="16" width="8.63636363636364" style="25" customWidth="1"/>
    <col min="17" max="17" width="18.7" style="31" customWidth="1"/>
    <col min="18" max="22" width="10.5090909090909" style="32" customWidth="1" outlineLevel="1"/>
    <col min="23" max="23" width="10.5090909090909" style="33" customWidth="1"/>
    <col min="24" max="24" width="10.5090909090909" style="32" customWidth="1"/>
    <col min="25" max="29" width="10.5090909090909" style="34" customWidth="1" outlineLevel="1"/>
    <col min="30" max="30" width="10.5090909090909" style="35" customWidth="1"/>
    <col min="31" max="31" width="10.5090909090909" style="34" customWidth="1"/>
    <col min="32" max="16384" width="9" style="34"/>
  </cols>
  <sheetData>
    <row r="1" ht="36" customHeight="1" spans="1:17">
      <c r="A1" s="36" t="s">
        <v>122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ht="17.5" spans="1:17">
      <c r="A2" s="37" t="s">
        <v>123</v>
      </c>
      <c r="B2" s="38"/>
      <c r="C2" s="38"/>
      <c r="D2" s="38"/>
      <c r="E2" s="38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70" t="s">
        <v>124</v>
      </c>
    </row>
    <row r="3" customHeight="1" spans="1:31">
      <c r="A3" s="40" t="s">
        <v>1</v>
      </c>
      <c r="B3" s="41" t="s">
        <v>39</v>
      </c>
      <c r="C3" s="41"/>
      <c r="D3" s="41"/>
      <c r="E3" s="41"/>
      <c r="F3" s="41"/>
      <c r="G3" s="41"/>
      <c r="H3" s="40" t="s">
        <v>40</v>
      </c>
      <c r="I3" s="40"/>
      <c r="J3" s="40"/>
      <c r="K3" s="57"/>
      <c r="L3" s="40" t="s">
        <v>41</v>
      </c>
      <c r="M3" s="58"/>
      <c r="N3" s="59"/>
      <c r="O3" s="60" t="s">
        <v>125</v>
      </c>
      <c r="P3" s="40" t="s">
        <v>43</v>
      </c>
      <c r="Q3" s="71" t="s">
        <v>44</v>
      </c>
      <c r="R3" s="72" t="s">
        <v>37</v>
      </c>
      <c r="S3" s="72"/>
      <c r="T3" s="72"/>
      <c r="U3" s="72"/>
      <c r="V3" s="72"/>
      <c r="W3" s="73"/>
      <c r="X3" s="72"/>
      <c r="Y3" s="82" t="s">
        <v>38</v>
      </c>
      <c r="Z3" s="82"/>
      <c r="AA3" s="82"/>
      <c r="AB3" s="82"/>
      <c r="AC3" s="82"/>
      <c r="AD3" s="83"/>
      <c r="AE3" s="82"/>
    </row>
    <row r="4" ht="37" customHeight="1" spans="1:31">
      <c r="A4" s="40"/>
      <c r="B4" s="40" t="s">
        <v>52</v>
      </c>
      <c r="C4" s="40"/>
      <c r="D4" s="40" t="s">
        <v>53</v>
      </c>
      <c r="E4" s="42" t="s">
        <v>54</v>
      </c>
      <c r="F4" s="40" t="s">
        <v>126</v>
      </c>
      <c r="G4" s="40" t="s">
        <v>56</v>
      </c>
      <c r="H4" s="40" t="s">
        <v>57</v>
      </c>
      <c r="I4" s="61" t="s">
        <v>58</v>
      </c>
      <c r="J4" s="62" t="s">
        <v>59</v>
      </c>
      <c r="K4" s="58" t="s">
        <v>19</v>
      </c>
      <c r="L4" s="40" t="s">
        <v>54</v>
      </c>
      <c r="M4" s="58" t="s">
        <v>127</v>
      </c>
      <c r="N4" s="40" t="s">
        <v>19</v>
      </c>
      <c r="O4" s="60" t="s">
        <v>128</v>
      </c>
      <c r="P4" s="40"/>
      <c r="Q4" s="71"/>
      <c r="R4" s="74" t="s">
        <v>45</v>
      </c>
      <c r="S4" s="74" t="s">
        <v>46</v>
      </c>
      <c r="T4" s="74" t="s">
        <v>129</v>
      </c>
      <c r="U4" s="74" t="s">
        <v>47</v>
      </c>
      <c r="V4" s="74" t="s">
        <v>49</v>
      </c>
      <c r="W4" s="75" t="s">
        <v>50</v>
      </c>
      <c r="X4" s="74" t="s">
        <v>51</v>
      </c>
      <c r="Y4" s="84" t="s">
        <v>45</v>
      </c>
      <c r="Z4" s="84" t="s">
        <v>46</v>
      </c>
      <c r="AA4" s="84" t="s">
        <v>129</v>
      </c>
      <c r="AB4" s="84" t="s">
        <v>47</v>
      </c>
      <c r="AC4" s="84" t="s">
        <v>49</v>
      </c>
      <c r="AD4" s="85" t="s">
        <v>50</v>
      </c>
      <c r="AE4" s="84" t="s">
        <v>51</v>
      </c>
    </row>
    <row r="5" ht="26" spans="1:31">
      <c r="A5" s="43">
        <v>1</v>
      </c>
      <c r="B5" s="44" t="s">
        <v>130</v>
      </c>
      <c r="C5" s="44" t="s">
        <v>131</v>
      </c>
      <c r="D5" s="43"/>
      <c r="E5" s="45"/>
      <c r="F5" s="43"/>
      <c r="G5" s="43" t="s">
        <v>132</v>
      </c>
      <c r="H5" s="46"/>
      <c r="I5" s="63">
        <v>1200</v>
      </c>
      <c r="J5" s="64"/>
      <c r="K5" s="64">
        <f>I5*H5*J5</f>
        <v>0</v>
      </c>
      <c r="L5" s="43" t="s">
        <v>133</v>
      </c>
      <c r="M5" s="65"/>
      <c r="N5" s="64">
        <f>K5*M5</f>
        <v>0</v>
      </c>
      <c r="O5" s="64">
        <f>K5+N5</f>
        <v>0</v>
      </c>
      <c r="P5" s="46" t="s">
        <v>134</v>
      </c>
      <c r="Q5" s="76"/>
      <c r="R5" s="77">
        <f>S5-H5</f>
        <v>0</v>
      </c>
      <c r="S5" s="72">
        <f>H5</f>
        <v>0</v>
      </c>
      <c r="T5" s="72">
        <f t="shared" ref="T5:T14" si="0">I5</f>
        <v>1200</v>
      </c>
      <c r="U5" s="72">
        <f t="shared" ref="U5:U14" si="1">J5</f>
        <v>0</v>
      </c>
      <c r="V5" s="72">
        <f>M5</f>
        <v>0</v>
      </c>
      <c r="W5" s="73">
        <f>S5*U5*T5*(1+V5)</f>
        <v>0</v>
      </c>
      <c r="X5" s="72"/>
      <c r="Y5" s="82">
        <f>Z5-H5</f>
        <v>0</v>
      </c>
      <c r="Z5" s="82">
        <f>H5</f>
        <v>0</v>
      </c>
      <c r="AA5" s="82">
        <f>I5</f>
        <v>1200</v>
      </c>
      <c r="AB5" s="82">
        <f>J5</f>
        <v>0</v>
      </c>
      <c r="AC5" s="82">
        <f t="shared" ref="AC5:AC7" si="2">M5</f>
        <v>0</v>
      </c>
      <c r="AD5" s="83">
        <f>Z5*AB5*AA5*(1+AC5)</f>
        <v>0</v>
      </c>
      <c r="AE5" s="82"/>
    </row>
    <row r="6" customHeight="1" spans="1:31">
      <c r="A6" s="47">
        <v>2</v>
      </c>
      <c r="B6" s="48" t="s">
        <v>135</v>
      </c>
      <c r="C6" s="48" t="s">
        <v>136</v>
      </c>
      <c r="D6" s="48" t="s">
        <v>137</v>
      </c>
      <c r="E6" s="49" t="s">
        <v>87</v>
      </c>
      <c r="F6" s="43" t="s">
        <v>63</v>
      </c>
      <c r="G6" s="43" t="s">
        <v>83</v>
      </c>
      <c r="H6" s="46"/>
      <c r="I6" s="63" t="str">
        <f>VLOOKUP(F6,{"简单","8033";"中等","11475";"复杂","17213"},2,0)</f>
        <v>17213</v>
      </c>
      <c r="J6" s="64"/>
      <c r="K6" s="66">
        <f t="shared" ref="K6:K15" si="3">I6*H6*J6</f>
        <v>0</v>
      </c>
      <c r="L6" s="43" t="s">
        <v>133</v>
      </c>
      <c r="M6" s="65" t="str">
        <f>VLOOKUP(L6,{"甲级","1.2";"乙级","1.0";"丙级","0.8"},2,0)</f>
        <v>1.2</v>
      </c>
      <c r="N6" s="67">
        <f t="shared" ref="N6:N15" si="4">K6*M6</f>
        <v>0</v>
      </c>
      <c r="O6" s="67">
        <f t="shared" ref="O6:O15" si="5">K6+N6</f>
        <v>0</v>
      </c>
      <c r="P6" s="46" t="s">
        <v>138</v>
      </c>
      <c r="Q6" s="76"/>
      <c r="R6" s="77">
        <f>S6-H6</f>
        <v>0</v>
      </c>
      <c r="S6" s="72">
        <f>H6</f>
        <v>0</v>
      </c>
      <c r="T6" s="72" t="str">
        <f t="shared" si="0"/>
        <v>17213</v>
      </c>
      <c r="U6" s="72">
        <f t="shared" si="1"/>
        <v>0</v>
      </c>
      <c r="V6" s="72" t="str">
        <f t="shared" ref="V5:V14" si="6">M6</f>
        <v>1.2</v>
      </c>
      <c r="W6" s="73">
        <f t="shared" ref="W5:W14" si="7">S6*U6*T6*(1+V6)</f>
        <v>0</v>
      </c>
      <c r="X6" s="72"/>
      <c r="Y6" s="82">
        <f t="shared" ref="Y6:Y14" si="8">Z6-H6</f>
        <v>0</v>
      </c>
      <c r="Z6" s="82">
        <f t="shared" ref="Z6:Z14" si="9">H6</f>
        <v>0</v>
      </c>
      <c r="AA6" s="82" t="str">
        <f>I6</f>
        <v>17213</v>
      </c>
      <c r="AB6" s="82">
        <f t="shared" ref="AB6:AB14" si="10">J6</f>
        <v>0</v>
      </c>
      <c r="AC6" s="82" t="str">
        <f t="shared" ref="AC6:AC14" si="11">M6</f>
        <v>1.2</v>
      </c>
      <c r="AD6" s="83">
        <f t="shared" ref="AD6:AD14" si="12">Z6*AB6*AA6*(1+AC6)</f>
        <v>0</v>
      </c>
      <c r="AE6" s="82"/>
    </row>
    <row r="7" customHeight="1" spans="1:31">
      <c r="A7" s="43">
        <v>3</v>
      </c>
      <c r="B7" s="50"/>
      <c r="C7" s="50"/>
      <c r="D7" s="50"/>
      <c r="E7" s="49" t="s">
        <v>89</v>
      </c>
      <c r="F7" s="43" t="s">
        <v>63</v>
      </c>
      <c r="G7" s="43" t="s">
        <v>83</v>
      </c>
      <c r="H7" s="46"/>
      <c r="I7" s="63" t="str">
        <f>VLOOKUP(F7,{"简单","5355";"中等","7650";"复杂","11475"},2,0)</f>
        <v>11475</v>
      </c>
      <c r="J7" s="64"/>
      <c r="K7" s="64">
        <f t="shared" si="3"/>
        <v>0</v>
      </c>
      <c r="L7" s="43" t="s">
        <v>133</v>
      </c>
      <c r="M7" s="65" t="str">
        <f>VLOOKUP(L7,{"甲级","1.2";"乙级","1.0";"丙级","0.8"},2,0)</f>
        <v>1.2</v>
      </c>
      <c r="N7" s="64">
        <f t="shared" si="4"/>
        <v>0</v>
      </c>
      <c r="O7" s="64">
        <f t="shared" si="5"/>
        <v>0</v>
      </c>
      <c r="P7" s="46" t="s">
        <v>138</v>
      </c>
      <c r="Q7" s="76"/>
      <c r="R7" s="77">
        <f>S7-H7</f>
        <v>0</v>
      </c>
      <c r="S7" s="72">
        <f>H7</f>
        <v>0</v>
      </c>
      <c r="T7" s="72" t="str">
        <f t="shared" si="0"/>
        <v>11475</v>
      </c>
      <c r="U7" s="72">
        <f t="shared" si="1"/>
        <v>0</v>
      </c>
      <c r="V7" s="72" t="str">
        <f t="shared" si="6"/>
        <v>1.2</v>
      </c>
      <c r="W7" s="73">
        <f t="shared" si="7"/>
        <v>0</v>
      </c>
      <c r="X7" s="72"/>
      <c r="Y7" s="82">
        <f t="shared" si="8"/>
        <v>0</v>
      </c>
      <c r="Z7" s="82">
        <f t="shared" si="9"/>
        <v>0</v>
      </c>
      <c r="AA7" s="82" t="str">
        <f>I7</f>
        <v>11475</v>
      </c>
      <c r="AB7" s="82">
        <f t="shared" si="10"/>
        <v>0</v>
      </c>
      <c r="AC7" s="82" t="str">
        <f t="shared" si="11"/>
        <v>1.2</v>
      </c>
      <c r="AD7" s="83">
        <f t="shared" si="12"/>
        <v>0</v>
      </c>
      <c r="AE7" s="82"/>
    </row>
    <row r="8" customHeight="1" spans="1:31">
      <c r="A8" s="47">
        <v>4</v>
      </c>
      <c r="B8" s="50"/>
      <c r="C8" s="50"/>
      <c r="D8" s="50"/>
      <c r="E8" s="49" t="s">
        <v>89</v>
      </c>
      <c r="F8" s="43" t="s">
        <v>67</v>
      </c>
      <c r="G8" s="43" t="s">
        <v>83</v>
      </c>
      <c r="H8" s="46">
        <v>0.52</v>
      </c>
      <c r="I8" s="63" t="str">
        <f>VLOOKUP(F8,{"简单","5355";"中等","7650";"复杂","11475"},2,0)</f>
        <v>7650</v>
      </c>
      <c r="J8" s="64"/>
      <c r="K8" s="64">
        <f t="shared" si="3"/>
        <v>0</v>
      </c>
      <c r="L8" s="43" t="s">
        <v>133</v>
      </c>
      <c r="M8" s="65" t="str">
        <f>VLOOKUP(L8,{"甲级","1.2";"乙级","1.0";"丙级","0.8"},2,0)</f>
        <v>1.2</v>
      </c>
      <c r="N8" s="64">
        <f t="shared" si="4"/>
        <v>0</v>
      </c>
      <c r="O8" s="64">
        <f t="shared" si="5"/>
        <v>0</v>
      </c>
      <c r="P8" s="46" t="s">
        <v>138</v>
      </c>
      <c r="Q8" s="76"/>
      <c r="R8" s="77">
        <f>S8-H8</f>
        <v>-0.32</v>
      </c>
      <c r="S8" s="72">
        <v>0.2</v>
      </c>
      <c r="T8" s="72" t="str">
        <f t="shared" si="0"/>
        <v>7650</v>
      </c>
      <c r="U8" s="72">
        <f t="shared" si="1"/>
        <v>0</v>
      </c>
      <c r="V8" s="72" t="str">
        <f t="shared" si="6"/>
        <v>1.2</v>
      </c>
      <c r="W8" s="73">
        <f t="shared" si="7"/>
        <v>0</v>
      </c>
      <c r="X8" s="72"/>
      <c r="Y8" s="82">
        <f t="shared" si="8"/>
        <v>0</v>
      </c>
      <c r="Z8" s="82">
        <f t="shared" si="9"/>
        <v>0.52</v>
      </c>
      <c r="AA8" s="82" t="str">
        <f>I8</f>
        <v>7650</v>
      </c>
      <c r="AB8" s="82">
        <f t="shared" si="10"/>
        <v>0</v>
      </c>
      <c r="AC8" s="82" t="str">
        <f t="shared" si="11"/>
        <v>1.2</v>
      </c>
      <c r="AD8" s="83">
        <f t="shared" si="12"/>
        <v>0</v>
      </c>
      <c r="AE8" s="82"/>
    </row>
    <row r="9" customHeight="1" spans="1:31">
      <c r="A9" s="43">
        <v>5</v>
      </c>
      <c r="B9" s="50"/>
      <c r="C9" s="50"/>
      <c r="D9" s="50"/>
      <c r="E9" s="49" t="s">
        <v>89</v>
      </c>
      <c r="F9" s="43" t="s">
        <v>63</v>
      </c>
      <c r="G9" s="43" t="s">
        <v>83</v>
      </c>
      <c r="H9" s="46"/>
      <c r="I9" s="63" t="str">
        <f>VLOOKUP(F9,{"简单","5355";"中等","7650";"复杂","11475"},2,0)</f>
        <v>11475</v>
      </c>
      <c r="J9" s="64"/>
      <c r="K9" s="64">
        <f t="shared" si="3"/>
        <v>0</v>
      </c>
      <c r="L9" s="43" t="s">
        <v>133</v>
      </c>
      <c r="M9" s="65" t="str">
        <f>VLOOKUP(L9,{"甲级","1.2";"乙级","1.0";"丙级","0.8"},2,0)</f>
        <v>1.2</v>
      </c>
      <c r="N9" s="64">
        <f t="shared" si="4"/>
        <v>0</v>
      </c>
      <c r="O9" s="64">
        <f t="shared" si="5"/>
        <v>0</v>
      </c>
      <c r="P9" s="46" t="s">
        <v>138</v>
      </c>
      <c r="Q9" s="76"/>
      <c r="R9" s="77">
        <f t="shared" ref="R9:R40" si="13">S9-H9</f>
        <v>0</v>
      </c>
      <c r="S9" s="72">
        <f t="shared" ref="S9:S14" si="14">H9</f>
        <v>0</v>
      </c>
      <c r="T9" s="72" t="str">
        <f t="shared" si="0"/>
        <v>11475</v>
      </c>
      <c r="U9" s="72">
        <f t="shared" si="1"/>
        <v>0</v>
      </c>
      <c r="V9" s="72" t="str">
        <f t="shared" si="6"/>
        <v>1.2</v>
      </c>
      <c r="W9" s="73">
        <f t="shared" si="7"/>
        <v>0</v>
      </c>
      <c r="X9" s="72"/>
      <c r="Y9" s="82">
        <f t="shared" si="8"/>
        <v>0</v>
      </c>
      <c r="Z9" s="82">
        <f t="shared" si="9"/>
        <v>0</v>
      </c>
      <c r="AA9" s="82" t="str">
        <f t="shared" ref="AA6:AA14" si="15">I9</f>
        <v>11475</v>
      </c>
      <c r="AB9" s="82">
        <f t="shared" si="10"/>
        <v>0</v>
      </c>
      <c r="AC9" s="82" t="str">
        <f t="shared" si="11"/>
        <v>1.2</v>
      </c>
      <c r="AD9" s="83">
        <f t="shared" si="12"/>
        <v>0</v>
      </c>
      <c r="AE9" s="82"/>
    </row>
    <row r="10" customHeight="1" spans="1:31">
      <c r="A10" s="47">
        <v>6</v>
      </c>
      <c r="B10" s="50"/>
      <c r="C10" s="50"/>
      <c r="D10" s="50"/>
      <c r="E10" s="49" t="s">
        <v>82</v>
      </c>
      <c r="F10" s="43" t="s">
        <v>63</v>
      </c>
      <c r="G10" s="43" t="s">
        <v>83</v>
      </c>
      <c r="H10" s="46"/>
      <c r="I10" s="63" t="str">
        <f>VLOOKUP(F10,{"简单","3570";"中等","5100";"复杂","7650"},2,0)</f>
        <v>7650</v>
      </c>
      <c r="J10" s="64"/>
      <c r="K10" s="64">
        <f t="shared" si="3"/>
        <v>0</v>
      </c>
      <c r="L10" s="43" t="s">
        <v>133</v>
      </c>
      <c r="M10" s="65" t="str">
        <f>VLOOKUP(L10,{"甲级","1.2";"乙级","1.0";"丙级","0.8"},2,0)</f>
        <v>1.2</v>
      </c>
      <c r="N10" s="64">
        <f t="shared" si="4"/>
        <v>0</v>
      </c>
      <c r="O10" s="64">
        <f t="shared" si="5"/>
        <v>0</v>
      </c>
      <c r="P10" s="46" t="s">
        <v>138</v>
      </c>
      <c r="Q10" s="76"/>
      <c r="R10" s="77">
        <f t="shared" si="13"/>
        <v>0</v>
      </c>
      <c r="S10" s="72">
        <f t="shared" si="14"/>
        <v>0</v>
      </c>
      <c r="T10" s="72" t="str">
        <f t="shared" si="0"/>
        <v>7650</v>
      </c>
      <c r="U10" s="72">
        <f t="shared" si="1"/>
        <v>0</v>
      </c>
      <c r="V10" s="72" t="str">
        <f t="shared" si="6"/>
        <v>1.2</v>
      </c>
      <c r="W10" s="73">
        <f t="shared" si="7"/>
        <v>0</v>
      </c>
      <c r="X10" s="72"/>
      <c r="Y10" s="82">
        <f t="shared" si="8"/>
        <v>0</v>
      </c>
      <c r="Z10" s="82">
        <f t="shared" si="9"/>
        <v>0</v>
      </c>
      <c r="AA10" s="82" t="str">
        <f t="shared" si="15"/>
        <v>7650</v>
      </c>
      <c r="AB10" s="82">
        <f t="shared" si="10"/>
        <v>0</v>
      </c>
      <c r="AC10" s="82" t="str">
        <f t="shared" si="11"/>
        <v>1.2</v>
      </c>
      <c r="AD10" s="83">
        <f t="shared" si="12"/>
        <v>0</v>
      </c>
      <c r="AE10" s="82"/>
    </row>
    <row r="11" customHeight="1" spans="1:31">
      <c r="A11" s="43">
        <v>7</v>
      </c>
      <c r="B11" s="50"/>
      <c r="C11" s="50"/>
      <c r="D11" s="50"/>
      <c r="E11" s="49" t="s">
        <v>139</v>
      </c>
      <c r="F11" s="43" t="s">
        <v>63</v>
      </c>
      <c r="G11" s="43" t="s">
        <v>83</v>
      </c>
      <c r="H11" s="46"/>
      <c r="I11" s="63" t="str">
        <f>VLOOKUP(F11,{"简单","536";"中等","765";"复杂","1148"},2,0)</f>
        <v>1148</v>
      </c>
      <c r="J11" s="64"/>
      <c r="K11" s="64">
        <f t="shared" si="3"/>
        <v>0</v>
      </c>
      <c r="L11" s="43" t="s">
        <v>133</v>
      </c>
      <c r="M11" s="65" t="str">
        <f>VLOOKUP(L11,{"甲级","1.2";"乙级","1.0";"丙级","0.8"},2,0)</f>
        <v>1.2</v>
      </c>
      <c r="N11" s="64">
        <f t="shared" si="4"/>
        <v>0</v>
      </c>
      <c r="O11" s="64">
        <f t="shared" si="5"/>
        <v>0</v>
      </c>
      <c r="P11" s="46" t="s">
        <v>140</v>
      </c>
      <c r="Q11" s="76"/>
      <c r="R11" s="77">
        <f t="shared" si="13"/>
        <v>0</v>
      </c>
      <c r="S11" s="72">
        <f t="shared" si="14"/>
        <v>0</v>
      </c>
      <c r="T11" s="72" t="str">
        <f t="shared" si="0"/>
        <v>1148</v>
      </c>
      <c r="U11" s="72">
        <f t="shared" si="1"/>
        <v>0</v>
      </c>
      <c r="V11" s="72" t="str">
        <f t="shared" si="6"/>
        <v>1.2</v>
      </c>
      <c r="W11" s="73">
        <f t="shared" si="7"/>
        <v>0</v>
      </c>
      <c r="X11" s="72"/>
      <c r="Y11" s="82">
        <f t="shared" si="8"/>
        <v>0</v>
      </c>
      <c r="Z11" s="82">
        <f t="shared" si="9"/>
        <v>0</v>
      </c>
      <c r="AA11" s="82" t="str">
        <f t="shared" si="15"/>
        <v>1148</v>
      </c>
      <c r="AB11" s="82">
        <f t="shared" si="10"/>
        <v>0</v>
      </c>
      <c r="AC11" s="82" t="str">
        <f t="shared" si="11"/>
        <v>1.2</v>
      </c>
      <c r="AD11" s="83">
        <f t="shared" si="12"/>
        <v>0</v>
      </c>
      <c r="AE11" s="82"/>
    </row>
    <row r="12" customHeight="1" spans="1:31">
      <c r="A12" s="47">
        <v>8</v>
      </c>
      <c r="B12" s="50"/>
      <c r="C12" s="50"/>
      <c r="D12" s="50"/>
      <c r="E12" s="49" t="s">
        <v>139</v>
      </c>
      <c r="F12" s="43" t="s">
        <v>67</v>
      </c>
      <c r="G12" s="43" t="s">
        <v>83</v>
      </c>
      <c r="H12" s="46"/>
      <c r="I12" s="63" t="str">
        <f>VLOOKUP(F12,{"简单","536";"中等","765";"复杂","1148"},2,0)</f>
        <v>765</v>
      </c>
      <c r="J12" s="64"/>
      <c r="K12" s="64">
        <f t="shared" si="3"/>
        <v>0</v>
      </c>
      <c r="L12" s="43" t="s">
        <v>133</v>
      </c>
      <c r="M12" s="65" t="str">
        <f>VLOOKUP(L12,{"甲级","1.2";"乙级","1.0";"丙级","0.8"},2,0)</f>
        <v>1.2</v>
      </c>
      <c r="N12" s="64">
        <f t="shared" si="4"/>
        <v>0</v>
      </c>
      <c r="O12" s="64">
        <f t="shared" si="5"/>
        <v>0</v>
      </c>
      <c r="P12" s="46" t="s">
        <v>141</v>
      </c>
      <c r="Q12" s="76"/>
      <c r="R12" s="77">
        <f t="shared" si="13"/>
        <v>0</v>
      </c>
      <c r="S12" s="72">
        <f t="shared" si="14"/>
        <v>0</v>
      </c>
      <c r="T12" s="72" t="str">
        <f t="shared" si="0"/>
        <v>765</v>
      </c>
      <c r="U12" s="72">
        <f t="shared" si="1"/>
        <v>0</v>
      </c>
      <c r="V12" s="72" t="str">
        <f t="shared" si="6"/>
        <v>1.2</v>
      </c>
      <c r="W12" s="73">
        <f t="shared" si="7"/>
        <v>0</v>
      </c>
      <c r="X12" s="72"/>
      <c r="Y12" s="82">
        <f t="shared" si="8"/>
        <v>0</v>
      </c>
      <c r="Z12" s="82">
        <f t="shared" si="9"/>
        <v>0</v>
      </c>
      <c r="AA12" s="82" t="str">
        <f t="shared" si="15"/>
        <v>765</v>
      </c>
      <c r="AB12" s="82">
        <f t="shared" si="10"/>
        <v>0</v>
      </c>
      <c r="AC12" s="82" t="str">
        <f t="shared" si="11"/>
        <v>1.2</v>
      </c>
      <c r="AD12" s="83">
        <f t="shared" si="12"/>
        <v>0</v>
      </c>
      <c r="AE12" s="82"/>
    </row>
    <row r="13" customHeight="1" spans="1:31">
      <c r="A13" s="43">
        <v>9</v>
      </c>
      <c r="B13" s="50"/>
      <c r="C13" s="50"/>
      <c r="D13" s="50"/>
      <c r="E13" s="51" t="s">
        <v>142</v>
      </c>
      <c r="F13" s="48" t="s">
        <v>67</v>
      </c>
      <c r="G13" s="43" t="s">
        <v>83</v>
      </c>
      <c r="H13" s="52">
        <v>13</v>
      </c>
      <c r="I13" s="68" t="str">
        <f>VLOOKUP(F13,{"简单","134";"中等","191";"复杂","287"},2,0)</f>
        <v>191</v>
      </c>
      <c r="J13" s="64"/>
      <c r="K13" s="64">
        <f t="shared" si="3"/>
        <v>0</v>
      </c>
      <c r="L13" s="43" t="s">
        <v>133</v>
      </c>
      <c r="M13" s="65" t="str">
        <f>VLOOKUP(L13,{"甲级","1.2";"乙级","1.0";"丙级","0.8"},2,0)</f>
        <v>1.2</v>
      </c>
      <c r="N13" s="64">
        <f t="shared" si="4"/>
        <v>0</v>
      </c>
      <c r="O13" s="64">
        <f t="shared" si="5"/>
        <v>0</v>
      </c>
      <c r="P13" s="46" t="s">
        <v>138</v>
      </c>
      <c r="Q13" s="76"/>
      <c r="R13" s="77">
        <f t="shared" si="13"/>
        <v>0</v>
      </c>
      <c r="S13" s="72">
        <f t="shared" si="14"/>
        <v>13</v>
      </c>
      <c r="T13" s="72" t="str">
        <f t="shared" si="0"/>
        <v>191</v>
      </c>
      <c r="U13" s="72">
        <f t="shared" si="1"/>
        <v>0</v>
      </c>
      <c r="V13" s="72" t="str">
        <f t="shared" si="6"/>
        <v>1.2</v>
      </c>
      <c r="W13" s="73">
        <f t="shared" si="7"/>
        <v>0</v>
      </c>
      <c r="X13" s="72"/>
      <c r="Y13" s="82">
        <f t="shared" si="8"/>
        <v>0</v>
      </c>
      <c r="Z13" s="82">
        <f t="shared" si="9"/>
        <v>13</v>
      </c>
      <c r="AA13" s="82" t="str">
        <f t="shared" si="15"/>
        <v>191</v>
      </c>
      <c r="AB13" s="82">
        <f t="shared" si="10"/>
        <v>0</v>
      </c>
      <c r="AC13" s="82" t="str">
        <f t="shared" si="11"/>
        <v>1.2</v>
      </c>
      <c r="AD13" s="83">
        <f t="shared" si="12"/>
        <v>0</v>
      </c>
      <c r="AE13" s="82"/>
    </row>
    <row r="14" customHeight="1" spans="1:31">
      <c r="A14" s="47">
        <v>10</v>
      </c>
      <c r="B14" s="48" t="s">
        <v>143</v>
      </c>
      <c r="C14" s="53" t="s">
        <v>144</v>
      </c>
      <c r="D14" s="53" t="s">
        <v>145</v>
      </c>
      <c r="E14" s="54" t="s">
        <v>146</v>
      </c>
      <c r="F14" s="43" t="s">
        <v>147</v>
      </c>
      <c r="G14" s="46" t="s">
        <v>148</v>
      </c>
      <c r="H14" s="55"/>
      <c r="I14" s="63" t="str">
        <f>VLOOKUP(F14,{"Ⅰ","46";"Ⅱ","71";"Ⅲ","117";"Ⅳ","207";"Ⅴ","301";"Ⅵ","382"},2,0)</f>
        <v>117</v>
      </c>
      <c r="J14" s="64"/>
      <c r="K14" s="64">
        <f t="shared" si="3"/>
        <v>0</v>
      </c>
      <c r="L14" s="43" t="s">
        <v>133</v>
      </c>
      <c r="M14" s="65" t="str">
        <f>VLOOKUP(L14,{"甲级","1.2";"乙级","1.0";"丙级","0.8"},2,0)</f>
        <v>1.2</v>
      </c>
      <c r="N14" s="64">
        <f t="shared" si="4"/>
        <v>0</v>
      </c>
      <c r="O14" s="64">
        <f t="shared" si="5"/>
        <v>0</v>
      </c>
      <c r="P14" s="69" t="s">
        <v>149</v>
      </c>
      <c r="Q14" s="76"/>
      <c r="R14" s="77">
        <f t="shared" si="13"/>
        <v>0</v>
      </c>
      <c r="S14" s="72">
        <f t="shared" si="14"/>
        <v>0</v>
      </c>
      <c r="T14" s="72" t="str">
        <f t="shared" si="0"/>
        <v>117</v>
      </c>
      <c r="U14" s="72">
        <f t="shared" si="1"/>
        <v>0</v>
      </c>
      <c r="V14" s="72" t="str">
        <f t="shared" si="6"/>
        <v>1.2</v>
      </c>
      <c r="W14" s="73">
        <f t="shared" si="7"/>
        <v>0</v>
      </c>
      <c r="X14" s="72"/>
      <c r="Y14" s="82">
        <f t="shared" si="8"/>
        <v>0</v>
      </c>
      <c r="Z14" s="82">
        <f t="shared" si="9"/>
        <v>0</v>
      </c>
      <c r="AA14" s="82" t="str">
        <f t="shared" si="15"/>
        <v>117</v>
      </c>
      <c r="AB14" s="82">
        <f t="shared" si="10"/>
        <v>0</v>
      </c>
      <c r="AC14" s="82" t="str">
        <f t="shared" si="11"/>
        <v>1.2</v>
      </c>
      <c r="AD14" s="83">
        <f t="shared" si="12"/>
        <v>0</v>
      </c>
      <c r="AE14" s="82"/>
    </row>
    <row r="15" customHeight="1" spans="1:31">
      <c r="A15" s="43">
        <v>11</v>
      </c>
      <c r="B15" s="50"/>
      <c r="C15" s="53"/>
      <c r="D15" s="53"/>
      <c r="E15" s="54" t="s">
        <v>146</v>
      </c>
      <c r="F15" s="43" t="s">
        <v>150</v>
      </c>
      <c r="G15" s="46" t="s">
        <v>148</v>
      </c>
      <c r="H15" s="55"/>
      <c r="I15" s="63" t="str">
        <f>VLOOKUP(F15,{"Ⅰ","46";"Ⅱ","71";"Ⅲ","117";"Ⅳ","207";"Ⅴ","301";"Ⅵ","382"},2,0)</f>
        <v>207</v>
      </c>
      <c r="J15" s="64"/>
      <c r="K15" s="64">
        <f t="shared" si="3"/>
        <v>0</v>
      </c>
      <c r="L15" s="43" t="s">
        <v>133</v>
      </c>
      <c r="M15" s="65" t="str">
        <f>VLOOKUP(L15,{"甲级","1.2";"乙级","1.0";"丙级","0.8"},2,0)</f>
        <v>1.2</v>
      </c>
      <c r="N15" s="64">
        <f t="shared" si="4"/>
        <v>0</v>
      </c>
      <c r="O15" s="64">
        <f t="shared" si="5"/>
        <v>0</v>
      </c>
      <c r="P15" s="69" t="s">
        <v>149</v>
      </c>
      <c r="Q15" s="76"/>
      <c r="R15" s="77">
        <f t="shared" si="13"/>
        <v>0</v>
      </c>
      <c r="S15" s="72">
        <f t="shared" ref="S15:S78" si="16">H15</f>
        <v>0</v>
      </c>
      <c r="T15" s="72" t="str">
        <f t="shared" ref="T15:T78" si="17">I15</f>
        <v>207</v>
      </c>
      <c r="U15" s="72">
        <f t="shared" ref="U15:U78" si="18">J15</f>
        <v>0</v>
      </c>
      <c r="V15" s="72" t="str">
        <f t="shared" ref="V15:V78" si="19">M15</f>
        <v>1.2</v>
      </c>
      <c r="W15" s="73">
        <f t="shared" ref="W15:W78" si="20">S15*U15*T15*(1+V15)</f>
        <v>0</v>
      </c>
      <c r="X15" s="72"/>
      <c r="Y15" s="82"/>
      <c r="Z15" s="82">
        <f t="shared" ref="Z15:Z78" si="21">H15</f>
        <v>0</v>
      </c>
      <c r="AA15" s="82" t="str">
        <f t="shared" ref="AA15:AA78" si="22">I15</f>
        <v>207</v>
      </c>
      <c r="AB15" s="82">
        <f t="shared" ref="AB15:AB78" si="23">J15</f>
        <v>0</v>
      </c>
      <c r="AC15" s="82" t="str">
        <f t="shared" ref="AC15:AC78" si="24">M15</f>
        <v>1.2</v>
      </c>
      <c r="AD15" s="83">
        <f t="shared" ref="AD15:AD78" si="25">Z15*AB15*AA15*(1+AC15)</f>
        <v>0</v>
      </c>
      <c r="AE15" s="82"/>
    </row>
    <row r="16" ht="21" customHeight="1" spans="1:31">
      <c r="A16" s="47">
        <v>12</v>
      </c>
      <c r="B16" s="50"/>
      <c r="C16" s="53"/>
      <c r="D16" s="53"/>
      <c r="E16" s="54" t="s">
        <v>151</v>
      </c>
      <c r="F16" s="43" t="s">
        <v>147</v>
      </c>
      <c r="G16" s="46" t="s">
        <v>148</v>
      </c>
      <c r="H16" s="56"/>
      <c r="I16" s="63" t="str">
        <f>VLOOKUP(F16,{"Ⅰ","58";"Ⅱ","89";"Ⅲ","147";"Ⅳ","259";"Ⅴ","377";"Ⅵ","477"},2,0)</f>
        <v>147</v>
      </c>
      <c r="J16" s="64"/>
      <c r="K16" s="64">
        <f t="shared" ref="K16:K23" si="26">I16*H16*J16</f>
        <v>0</v>
      </c>
      <c r="L16" s="43" t="s">
        <v>133</v>
      </c>
      <c r="M16" s="65" t="str">
        <f>VLOOKUP(L16,{"甲级","1.2";"乙级","1.0";"丙级","0.8"},2,0)</f>
        <v>1.2</v>
      </c>
      <c r="N16" s="64">
        <f t="shared" ref="N16:N23" si="27">K16*M16</f>
        <v>0</v>
      </c>
      <c r="O16" s="64">
        <f t="shared" ref="O16:O23" si="28">K16+N16</f>
        <v>0</v>
      </c>
      <c r="P16" s="69" t="s">
        <v>149</v>
      </c>
      <c r="Q16" s="76"/>
      <c r="R16" s="77">
        <f t="shared" si="13"/>
        <v>0</v>
      </c>
      <c r="S16" s="72">
        <f t="shared" si="16"/>
        <v>0</v>
      </c>
      <c r="T16" s="72" t="str">
        <f t="shared" si="17"/>
        <v>147</v>
      </c>
      <c r="U16" s="72">
        <f t="shared" si="18"/>
        <v>0</v>
      </c>
      <c r="V16" s="72" t="str">
        <f t="shared" si="19"/>
        <v>1.2</v>
      </c>
      <c r="W16" s="73">
        <f t="shared" si="20"/>
        <v>0</v>
      </c>
      <c r="X16" s="72"/>
      <c r="Y16" s="82"/>
      <c r="Z16" s="82">
        <f t="shared" si="21"/>
        <v>0</v>
      </c>
      <c r="AA16" s="82" t="str">
        <f t="shared" si="22"/>
        <v>147</v>
      </c>
      <c r="AB16" s="82">
        <f t="shared" si="23"/>
        <v>0</v>
      </c>
      <c r="AC16" s="82" t="str">
        <f t="shared" si="24"/>
        <v>1.2</v>
      </c>
      <c r="AD16" s="83">
        <f t="shared" si="25"/>
        <v>0</v>
      </c>
      <c r="AE16" s="82"/>
    </row>
    <row r="17" ht="21" customHeight="1" spans="1:31">
      <c r="A17" s="43">
        <v>13</v>
      </c>
      <c r="B17" s="50"/>
      <c r="C17" s="53"/>
      <c r="D17" s="53"/>
      <c r="E17" s="54" t="s">
        <v>151</v>
      </c>
      <c r="F17" s="43" t="s">
        <v>150</v>
      </c>
      <c r="G17" s="46" t="s">
        <v>148</v>
      </c>
      <c r="H17" s="56"/>
      <c r="I17" s="63" t="str">
        <f>VLOOKUP(F17,{"Ⅰ","58";"Ⅱ","89";"Ⅲ","147";"Ⅳ","259";"Ⅴ","377";"Ⅵ","477"},2,0)</f>
        <v>259</v>
      </c>
      <c r="J17" s="64"/>
      <c r="K17" s="64">
        <f t="shared" si="26"/>
        <v>0</v>
      </c>
      <c r="L17" s="43" t="s">
        <v>133</v>
      </c>
      <c r="M17" s="65" t="str">
        <f>VLOOKUP(L17,{"甲级","1.2";"乙级","1.0";"丙级","0.8"},2,0)</f>
        <v>1.2</v>
      </c>
      <c r="N17" s="64">
        <f t="shared" si="27"/>
        <v>0</v>
      </c>
      <c r="O17" s="64">
        <f t="shared" si="28"/>
        <v>0</v>
      </c>
      <c r="P17" s="69" t="s">
        <v>149</v>
      </c>
      <c r="Q17" s="76"/>
      <c r="R17" s="77">
        <f t="shared" si="13"/>
        <v>0</v>
      </c>
      <c r="S17" s="72">
        <f t="shared" si="16"/>
        <v>0</v>
      </c>
      <c r="T17" s="72" t="str">
        <f t="shared" si="17"/>
        <v>259</v>
      </c>
      <c r="U17" s="72">
        <f t="shared" si="18"/>
        <v>0</v>
      </c>
      <c r="V17" s="72" t="str">
        <f t="shared" si="19"/>
        <v>1.2</v>
      </c>
      <c r="W17" s="73">
        <f t="shared" si="20"/>
        <v>0</v>
      </c>
      <c r="X17" s="72"/>
      <c r="Y17" s="82"/>
      <c r="Z17" s="82">
        <f t="shared" si="21"/>
        <v>0</v>
      </c>
      <c r="AA17" s="82" t="str">
        <f t="shared" si="22"/>
        <v>259</v>
      </c>
      <c r="AB17" s="82">
        <f t="shared" si="23"/>
        <v>0</v>
      </c>
      <c r="AC17" s="82" t="str">
        <f t="shared" si="24"/>
        <v>1.2</v>
      </c>
      <c r="AD17" s="83">
        <f t="shared" si="25"/>
        <v>0</v>
      </c>
      <c r="AE17" s="82"/>
    </row>
    <row r="18" customHeight="1" spans="1:31">
      <c r="A18" s="47">
        <v>14</v>
      </c>
      <c r="B18" s="50"/>
      <c r="C18" s="53"/>
      <c r="D18" s="53"/>
      <c r="E18" s="54" t="s">
        <v>152</v>
      </c>
      <c r="F18" s="43" t="s">
        <v>147</v>
      </c>
      <c r="G18" s="46" t="s">
        <v>148</v>
      </c>
      <c r="H18" s="56"/>
      <c r="I18" s="63" t="str">
        <f>VLOOKUP(F18,{"Ⅰ","69";"Ⅱ","107";"Ⅲ","176";"Ⅳ","311";"Ⅴ","452";"Ⅵ","573"},2,0)</f>
        <v>176</v>
      </c>
      <c r="J18" s="64"/>
      <c r="K18" s="64">
        <f t="shared" si="26"/>
        <v>0</v>
      </c>
      <c r="L18" s="43" t="s">
        <v>133</v>
      </c>
      <c r="M18" s="65" t="str">
        <f>VLOOKUP(L18,{"甲级","1.2";"乙级","1.0";"丙级","0.8"},2,0)</f>
        <v>1.2</v>
      </c>
      <c r="N18" s="64">
        <f t="shared" si="27"/>
        <v>0</v>
      </c>
      <c r="O18" s="64">
        <f t="shared" si="28"/>
        <v>0</v>
      </c>
      <c r="P18" s="69" t="s">
        <v>149</v>
      </c>
      <c r="Q18" s="76"/>
      <c r="R18" s="77">
        <f t="shared" si="13"/>
        <v>0</v>
      </c>
      <c r="S18" s="72">
        <f t="shared" si="16"/>
        <v>0</v>
      </c>
      <c r="T18" s="72" t="str">
        <f t="shared" si="17"/>
        <v>176</v>
      </c>
      <c r="U18" s="72">
        <f t="shared" si="18"/>
        <v>0</v>
      </c>
      <c r="V18" s="72" t="str">
        <f t="shared" si="19"/>
        <v>1.2</v>
      </c>
      <c r="W18" s="73">
        <f t="shared" si="20"/>
        <v>0</v>
      </c>
      <c r="X18" s="72"/>
      <c r="Y18" s="82"/>
      <c r="Z18" s="82">
        <f t="shared" si="21"/>
        <v>0</v>
      </c>
      <c r="AA18" s="82" t="str">
        <f t="shared" si="22"/>
        <v>176</v>
      </c>
      <c r="AB18" s="82">
        <f t="shared" si="23"/>
        <v>0</v>
      </c>
      <c r="AC18" s="82" t="str">
        <f t="shared" si="24"/>
        <v>1.2</v>
      </c>
      <c r="AD18" s="83">
        <f t="shared" si="25"/>
        <v>0</v>
      </c>
      <c r="AE18" s="82"/>
    </row>
    <row r="19" customHeight="1" spans="1:31">
      <c r="A19" s="43">
        <v>15</v>
      </c>
      <c r="B19" s="50"/>
      <c r="C19" s="53"/>
      <c r="D19" s="53"/>
      <c r="E19" s="54" t="s">
        <v>152</v>
      </c>
      <c r="F19" s="43" t="s">
        <v>150</v>
      </c>
      <c r="G19" s="46" t="s">
        <v>148</v>
      </c>
      <c r="H19" s="56"/>
      <c r="I19" s="63" t="str">
        <f>VLOOKUP(F19,{"Ⅰ","69";"Ⅱ","107";"Ⅲ","176";"Ⅳ","311";"Ⅴ","452";"Ⅵ","573"},2,0)</f>
        <v>311</v>
      </c>
      <c r="J19" s="64"/>
      <c r="K19" s="64">
        <f t="shared" si="26"/>
        <v>0</v>
      </c>
      <c r="L19" s="43" t="s">
        <v>133</v>
      </c>
      <c r="M19" s="65" t="str">
        <f>VLOOKUP(L19,{"甲级","1.2";"乙级","1.0";"丙级","0.8"},2,0)</f>
        <v>1.2</v>
      </c>
      <c r="N19" s="64">
        <f t="shared" si="27"/>
        <v>0</v>
      </c>
      <c r="O19" s="64">
        <f t="shared" si="28"/>
        <v>0</v>
      </c>
      <c r="P19" s="69" t="s">
        <v>149</v>
      </c>
      <c r="Q19" s="76"/>
      <c r="R19" s="77">
        <f t="shared" si="13"/>
        <v>0</v>
      </c>
      <c r="S19" s="72">
        <f t="shared" si="16"/>
        <v>0</v>
      </c>
      <c r="T19" s="72" t="str">
        <f t="shared" si="17"/>
        <v>311</v>
      </c>
      <c r="U19" s="72">
        <f t="shared" si="18"/>
        <v>0</v>
      </c>
      <c r="V19" s="72" t="str">
        <f t="shared" si="19"/>
        <v>1.2</v>
      </c>
      <c r="W19" s="73">
        <f t="shared" si="20"/>
        <v>0</v>
      </c>
      <c r="X19" s="72"/>
      <c r="Y19" s="82"/>
      <c r="Z19" s="82">
        <f t="shared" si="21"/>
        <v>0</v>
      </c>
      <c r="AA19" s="82" t="str">
        <f t="shared" si="22"/>
        <v>311</v>
      </c>
      <c r="AB19" s="82">
        <f t="shared" si="23"/>
        <v>0</v>
      </c>
      <c r="AC19" s="82" t="str">
        <f t="shared" si="24"/>
        <v>1.2</v>
      </c>
      <c r="AD19" s="83">
        <f t="shared" si="25"/>
        <v>0</v>
      </c>
      <c r="AE19" s="82"/>
    </row>
    <row r="20" customHeight="1" spans="1:31">
      <c r="A20" s="47">
        <v>16</v>
      </c>
      <c r="B20" s="50"/>
      <c r="C20" s="53"/>
      <c r="D20" s="53"/>
      <c r="E20" s="54" t="s">
        <v>152</v>
      </c>
      <c r="F20" s="43" t="s">
        <v>153</v>
      </c>
      <c r="G20" s="46" t="s">
        <v>148</v>
      </c>
      <c r="H20" s="56"/>
      <c r="I20" s="63" t="str">
        <f>VLOOKUP(F20,{"Ⅰ","69";"Ⅱ","107";"Ⅲ","176";"Ⅳ","311";"Ⅴ","452";"Ⅵ","573"},2,0)</f>
        <v>452</v>
      </c>
      <c r="J20" s="64"/>
      <c r="K20" s="64">
        <f t="shared" si="26"/>
        <v>0</v>
      </c>
      <c r="L20" s="43" t="s">
        <v>133</v>
      </c>
      <c r="M20" s="65" t="str">
        <f>VLOOKUP(L20,{"甲级","1.2";"乙级","1.0";"丙级","0.8"},2,0)</f>
        <v>1.2</v>
      </c>
      <c r="N20" s="64">
        <f t="shared" si="27"/>
        <v>0</v>
      </c>
      <c r="O20" s="64">
        <f t="shared" si="28"/>
        <v>0</v>
      </c>
      <c r="P20" s="69" t="s">
        <v>149</v>
      </c>
      <c r="Q20" s="76"/>
      <c r="R20" s="77">
        <f t="shared" si="13"/>
        <v>0</v>
      </c>
      <c r="S20" s="72">
        <f t="shared" si="16"/>
        <v>0</v>
      </c>
      <c r="T20" s="72" t="str">
        <f t="shared" si="17"/>
        <v>452</v>
      </c>
      <c r="U20" s="72">
        <f t="shared" si="18"/>
        <v>0</v>
      </c>
      <c r="V20" s="72" t="str">
        <f t="shared" si="19"/>
        <v>1.2</v>
      </c>
      <c r="W20" s="73">
        <f t="shared" si="20"/>
        <v>0</v>
      </c>
      <c r="X20" s="72"/>
      <c r="Y20" s="82"/>
      <c r="Z20" s="82">
        <f t="shared" si="21"/>
        <v>0</v>
      </c>
      <c r="AA20" s="82" t="str">
        <f t="shared" si="22"/>
        <v>452</v>
      </c>
      <c r="AB20" s="82">
        <f t="shared" si="23"/>
        <v>0</v>
      </c>
      <c r="AC20" s="82" t="str">
        <f t="shared" si="24"/>
        <v>1.2</v>
      </c>
      <c r="AD20" s="83">
        <f t="shared" si="25"/>
        <v>0</v>
      </c>
      <c r="AE20" s="82"/>
    </row>
    <row r="21" customHeight="1" spans="1:31">
      <c r="A21" s="43">
        <v>17</v>
      </c>
      <c r="B21" s="50"/>
      <c r="C21" s="53"/>
      <c r="D21" s="53"/>
      <c r="E21" s="54" t="s">
        <v>154</v>
      </c>
      <c r="F21" s="43" t="s">
        <v>147</v>
      </c>
      <c r="G21" s="46" t="s">
        <v>148</v>
      </c>
      <c r="H21" s="56"/>
      <c r="I21" s="63" t="str">
        <f>VLOOKUP(F21,{"Ⅰ","82";"Ⅱ","127";"Ⅲ","209";"Ⅳ","368";"Ⅴ","536";"Ⅵ","680"},2,0)</f>
        <v>209</v>
      </c>
      <c r="J21" s="64"/>
      <c r="K21" s="64">
        <f t="shared" si="26"/>
        <v>0</v>
      </c>
      <c r="L21" s="43" t="s">
        <v>133</v>
      </c>
      <c r="M21" s="65" t="str">
        <f>VLOOKUP(L21,{"甲级","1.2";"乙级","1.0";"丙级","0.8"},2,0)</f>
        <v>1.2</v>
      </c>
      <c r="N21" s="64">
        <f t="shared" si="27"/>
        <v>0</v>
      </c>
      <c r="O21" s="64">
        <f t="shared" si="28"/>
        <v>0</v>
      </c>
      <c r="P21" s="69" t="s">
        <v>149</v>
      </c>
      <c r="Q21" s="76"/>
      <c r="R21" s="77">
        <f t="shared" si="13"/>
        <v>0</v>
      </c>
      <c r="S21" s="72">
        <f t="shared" si="16"/>
        <v>0</v>
      </c>
      <c r="T21" s="72" t="str">
        <f t="shared" si="17"/>
        <v>209</v>
      </c>
      <c r="U21" s="72">
        <f t="shared" si="18"/>
        <v>0</v>
      </c>
      <c r="V21" s="72" t="str">
        <f t="shared" si="19"/>
        <v>1.2</v>
      </c>
      <c r="W21" s="73">
        <f t="shared" si="20"/>
        <v>0</v>
      </c>
      <c r="X21" s="72"/>
      <c r="Y21" s="82"/>
      <c r="Z21" s="82">
        <f t="shared" si="21"/>
        <v>0</v>
      </c>
      <c r="AA21" s="82" t="str">
        <f t="shared" si="22"/>
        <v>209</v>
      </c>
      <c r="AB21" s="82">
        <f t="shared" si="23"/>
        <v>0</v>
      </c>
      <c r="AC21" s="82" t="str">
        <f t="shared" si="24"/>
        <v>1.2</v>
      </c>
      <c r="AD21" s="83">
        <f t="shared" si="25"/>
        <v>0</v>
      </c>
      <c r="AE21" s="82"/>
    </row>
    <row r="22" customHeight="1" spans="1:31">
      <c r="A22" s="47">
        <v>18</v>
      </c>
      <c r="B22" s="50"/>
      <c r="C22" s="53"/>
      <c r="D22" s="53"/>
      <c r="E22" s="54" t="s">
        <v>154</v>
      </c>
      <c r="F22" s="43" t="s">
        <v>150</v>
      </c>
      <c r="G22" s="46" t="s">
        <v>148</v>
      </c>
      <c r="H22" s="56"/>
      <c r="I22" s="63" t="str">
        <f>VLOOKUP(F22,{"Ⅰ","82";"Ⅱ","127";"Ⅲ","209";"Ⅳ","368";"Ⅴ","536";"Ⅵ","680"},2,0)</f>
        <v>368</v>
      </c>
      <c r="J22" s="64"/>
      <c r="K22" s="64">
        <f t="shared" si="26"/>
        <v>0</v>
      </c>
      <c r="L22" s="43" t="s">
        <v>133</v>
      </c>
      <c r="M22" s="65" t="str">
        <f>VLOOKUP(L22,{"甲级","1.2";"乙级","1.0";"丙级","0.8"},2,0)</f>
        <v>1.2</v>
      </c>
      <c r="N22" s="64">
        <f t="shared" si="27"/>
        <v>0</v>
      </c>
      <c r="O22" s="64">
        <f t="shared" si="28"/>
        <v>0</v>
      </c>
      <c r="P22" s="69" t="s">
        <v>149</v>
      </c>
      <c r="Q22" s="76"/>
      <c r="R22" s="77">
        <f t="shared" si="13"/>
        <v>0</v>
      </c>
      <c r="S22" s="72">
        <f t="shared" si="16"/>
        <v>0</v>
      </c>
      <c r="T22" s="72" t="str">
        <f t="shared" si="17"/>
        <v>368</v>
      </c>
      <c r="U22" s="72">
        <f t="shared" si="18"/>
        <v>0</v>
      </c>
      <c r="V22" s="72" t="str">
        <f t="shared" si="19"/>
        <v>1.2</v>
      </c>
      <c r="W22" s="73">
        <f t="shared" si="20"/>
        <v>0</v>
      </c>
      <c r="X22" s="72"/>
      <c r="Y22" s="82"/>
      <c r="Z22" s="82">
        <f t="shared" si="21"/>
        <v>0</v>
      </c>
      <c r="AA22" s="82" t="str">
        <f t="shared" si="22"/>
        <v>368</v>
      </c>
      <c r="AB22" s="82">
        <f t="shared" si="23"/>
        <v>0</v>
      </c>
      <c r="AC22" s="82" t="str">
        <f t="shared" si="24"/>
        <v>1.2</v>
      </c>
      <c r="AD22" s="83">
        <f t="shared" si="25"/>
        <v>0</v>
      </c>
      <c r="AE22" s="82"/>
    </row>
    <row r="23" customHeight="1" spans="1:31">
      <c r="A23" s="43">
        <v>19</v>
      </c>
      <c r="B23" s="50"/>
      <c r="C23" s="53"/>
      <c r="D23" s="53"/>
      <c r="E23" s="54" t="s">
        <v>154</v>
      </c>
      <c r="F23" s="43" t="s">
        <v>153</v>
      </c>
      <c r="G23" s="46" t="s">
        <v>148</v>
      </c>
      <c r="H23" s="56"/>
      <c r="I23" s="63" t="str">
        <f>VLOOKUP(F23,{"Ⅰ","82";"Ⅱ","127";"Ⅲ","209";"Ⅳ","368";"Ⅴ","536";"Ⅵ","680"},2,0)</f>
        <v>536</v>
      </c>
      <c r="J23" s="64"/>
      <c r="K23" s="64">
        <f t="shared" si="26"/>
        <v>0</v>
      </c>
      <c r="L23" s="43" t="s">
        <v>133</v>
      </c>
      <c r="M23" s="65" t="str">
        <f>VLOOKUP(L23,{"甲级","1.2";"乙级","1.0";"丙级","0.8"},2,0)</f>
        <v>1.2</v>
      </c>
      <c r="N23" s="64">
        <f t="shared" si="27"/>
        <v>0</v>
      </c>
      <c r="O23" s="64">
        <f t="shared" si="28"/>
        <v>0</v>
      </c>
      <c r="P23" s="69" t="s">
        <v>149</v>
      </c>
      <c r="Q23" s="76"/>
      <c r="R23" s="77">
        <f t="shared" si="13"/>
        <v>0</v>
      </c>
      <c r="S23" s="72">
        <f t="shared" si="16"/>
        <v>0</v>
      </c>
      <c r="T23" s="72" t="str">
        <f t="shared" si="17"/>
        <v>536</v>
      </c>
      <c r="U23" s="72">
        <f t="shared" si="18"/>
        <v>0</v>
      </c>
      <c r="V23" s="72" t="str">
        <f t="shared" si="19"/>
        <v>1.2</v>
      </c>
      <c r="W23" s="73">
        <f t="shared" si="20"/>
        <v>0</v>
      </c>
      <c r="X23" s="72"/>
      <c r="Y23" s="82"/>
      <c r="Z23" s="82">
        <f t="shared" si="21"/>
        <v>0</v>
      </c>
      <c r="AA23" s="82" t="str">
        <f t="shared" si="22"/>
        <v>536</v>
      </c>
      <c r="AB23" s="82">
        <f t="shared" si="23"/>
        <v>0</v>
      </c>
      <c r="AC23" s="82" t="str">
        <f t="shared" si="24"/>
        <v>1.2</v>
      </c>
      <c r="AD23" s="83">
        <f t="shared" si="25"/>
        <v>0</v>
      </c>
      <c r="AE23" s="82"/>
    </row>
    <row r="24" customHeight="1" spans="1:31">
      <c r="A24" s="47">
        <v>20</v>
      </c>
      <c r="B24" s="50"/>
      <c r="C24" s="53"/>
      <c r="D24" s="53"/>
      <c r="E24" s="54" t="s">
        <v>155</v>
      </c>
      <c r="F24" s="43" t="s">
        <v>150</v>
      </c>
      <c r="G24" s="46" t="s">
        <v>148</v>
      </c>
      <c r="H24" s="56"/>
      <c r="I24" s="63" t="str">
        <f>VLOOKUP(F24,{"Ⅰ","98";"Ⅱ","151";"Ⅲ","249";"Ⅳ","439";"Ⅴ","639";"Ⅵ","809"},2,0)</f>
        <v>439</v>
      </c>
      <c r="J24" s="64"/>
      <c r="K24" s="64">
        <f t="shared" ref="K24:K30" si="29">I24*H24*J24</f>
        <v>0</v>
      </c>
      <c r="L24" s="43" t="s">
        <v>133</v>
      </c>
      <c r="M24" s="65" t="str">
        <f>VLOOKUP(L24,{"甲级","1.2";"乙级","1.0";"丙级","0.8"},2,0)</f>
        <v>1.2</v>
      </c>
      <c r="N24" s="64">
        <f t="shared" ref="N24:N30" si="30">K24*M24</f>
        <v>0</v>
      </c>
      <c r="O24" s="64">
        <f t="shared" ref="O24:O26" si="31">K24+N24</f>
        <v>0</v>
      </c>
      <c r="P24" s="69" t="s">
        <v>149</v>
      </c>
      <c r="Q24" s="76"/>
      <c r="R24" s="77">
        <f t="shared" si="13"/>
        <v>0</v>
      </c>
      <c r="S24" s="72">
        <f t="shared" si="16"/>
        <v>0</v>
      </c>
      <c r="T24" s="72" t="str">
        <f t="shared" si="17"/>
        <v>439</v>
      </c>
      <c r="U24" s="72">
        <f t="shared" si="18"/>
        <v>0</v>
      </c>
      <c r="V24" s="72" t="str">
        <f t="shared" si="19"/>
        <v>1.2</v>
      </c>
      <c r="W24" s="73">
        <f t="shared" si="20"/>
        <v>0</v>
      </c>
      <c r="X24" s="72"/>
      <c r="Y24" s="82"/>
      <c r="Z24" s="82">
        <f t="shared" si="21"/>
        <v>0</v>
      </c>
      <c r="AA24" s="82" t="str">
        <f t="shared" si="22"/>
        <v>439</v>
      </c>
      <c r="AB24" s="82">
        <f t="shared" si="23"/>
        <v>0</v>
      </c>
      <c r="AC24" s="82" t="str">
        <f t="shared" si="24"/>
        <v>1.2</v>
      </c>
      <c r="AD24" s="83">
        <f t="shared" si="25"/>
        <v>0</v>
      </c>
      <c r="AE24" s="82"/>
    </row>
    <row r="25" customHeight="1" spans="1:31">
      <c r="A25" s="43">
        <v>21</v>
      </c>
      <c r="B25" s="50"/>
      <c r="C25" s="53"/>
      <c r="D25" s="53"/>
      <c r="E25" s="54" t="s">
        <v>155</v>
      </c>
      <c r="F25" s="43" t="s">
        <v>153</v>
      </c>
      <c r="G25" s="46" t="s">
        <v>148</v>
      </c>
      <c r="H25" s="56"/>
      <c r="I25" s="63" t="str">
        <f>VLOOKUP(F25,{"Ⅰ","98";"Ⅱ","151";"Ⅲ","249";"Ⅳ","439";"Ⅴ","639";"Ⅵ","809"},2,0)</f>
        <v>639</v>
      </c>
      <c r="J25" s="64"/>
      <c r="K25" s="64">
        <f t="shared" si="29"/>
        <v>0</v>
      </c>
      <c r="L25" s="43" t="s">
        <v>133</v>
      </c>
      <c r="M25" s="65" t="str">
        <f>VLOOKUP(L25,{"甲级","1.2";"乙级","1.0";"丙级","0.8"},2,0)</f>
        <v>1.2</v>
      </c>
      <c r="N25" s="64">
        <f t="shared" si="30"/>
        <v>0</v>
      </c>
      <c r="O25" s="64">
        <f t="shared" si="31"/>
        <v>0</v>
      </c>
      <c r="P25" s="69" t="s">
        <v>149</v>
      </c>
      <c r="Q25" s="76"/>
      <c r="R25" s="77">
        <f t="shared" si="13"/>
        <v>0</v>
      </c>
      <c r="S25" s="72">
        <f t="shared" si="16"/>
        <v>0</v>
      </c>
      <c r="T25" s="72" t="str">
        <f t="shared" si="17"/>
        <v>639</v>
      </c>
      <c r="U25" s="72">
        <f t="shared" si="18"/>
        <v>0</v>
      </c>
      <c r="V25" s="72" t="str">
        <f t="shared" si="19"/>
        <v>1.2</v>
      </c>
      <c r="W25" s="73">
        <f t="shared" si="20"/>
        <v>0</v>
      </c>
      <c r="X25" s="72"/>
      <c r="Y25" s="82"/>
      <c r="Z25" s="82">
        <f t="shared" si="21"/>
        <v>0</v>
      </c>
      <c r="AA25" s="82" t="str">
        <f t="shared" si="22"/>
        <v>639</v>
      </c>
      <c r="AB25" s="82">
        <f t="shared" si="23"/>
        <v>0</v>
      </c>
      <c r="AC25" s="82" t="str">
        <f t="shared" si="24"/>
        <v>1.2</v>
      </c>
      <c r="AD25" s="83">
        <f t="shared" si="25"/>
        <v>0</v>
      </c>
      <c r="AE25" s="82"/>
    </row>
    <row r="26" customHeight="1" spans="1:31">
      <c r="A26" s="47">
        <v>22</v>
      </c>
      <c r="B26" s="50"/>
      <c r="C26" s="53"/>
      <c r="D26" s="53"/>
      <c r="E26" s="54" t="s">
        <v>156</v>
      </c>
      <c r="F26" s="43" t="s">
        <v>150</v>
      </c>
      <c r="G26" s="46" t="s">
        <v>148</v>
      </c>
      <c r="H26" s="56"/>
      <c r="I26" s="63" t="str">
        <f>VLOOKUP(F26,{"Ⅰ","109";"Ⅱ","168";"Ⅲ","277";"Ⅳ","489";"Ⅴ","711";"Ⅵ","901"},2,0)</f>
        <v>489</v>
      </c>
      <c r="J26" s="64"/>
      <c r="K26" s="64">
        <f t="shared" si="29"/>
        <v>0</v>
      </c>
      <c r="L26" s="43" t="s">
        <v>133</v>
      </c>
      <c r="M26" s="65" t="str">
        <f>VLOOKUP(L26,{"甲级","1.2";"乙级","1.0";"丙级","0.8"},2,0)</f>
        <v>1.2</v>
      </c>
      <c r="N26" s="64">
        <f t="shared" si="30"/>
        <v>0</v>
      </c>
      <c r="O26" s="64">
        <f t="shared" si="31"/>
        <v>0</v>
      </c>
      <c r="P26" s="69" t="s">
        <v>149</v>
      </c>
      <c r="Q26" s="76"/>
      <c r="R26" s="77">
        <f t="shared" si="13"/>
        <v>0</v>
      </c>
      <c r="S26" s="72">
        <f t="shared" si="16"/>
        <v>0</v>
      </c>
      <c r="T26" s="72" t="str">
        <f t="shared" si="17"/>
        <v>489</v>
      </c>
      <c r="U26" s="72">
        <f t="shared" si="18"/>
        <v>0</v>
      </c>
      <c r="V26" s="72" t="str">
        <f t="shared" si="19"/>
        <v>1.2</v>
      </c>
      <c r="W26" s="73">
        <f t="shared" si="20"/>
        <v>0</v>
      </c>
      <c r="X26" s="72"/>
      <c r="Y26" s="82"/>
      <c r="Z26" s="82">
        <f t="shared" si="21"/>
        <v>0</v>
      </c>
      <c r="AA26" s="82" t="str">
        <f t="shared" si="22"/>
        <v>489</v>
      </c>
      <c r="AB26" s="82">
        <f t="shared" si="23"/>
        <v>0</v>
      </c>
      <c r="AC26" s="82" t="str">
        <f t="shared" si="24"/>
        <v>1.2</v>
      </c>
      <c r="AD26" s="83">
        <f t="shared" si="25"/>
        <v>0</v>
      </c>
      <c r="AE26" s="82"/>
    </row>
    <row r="27" customHeight="1" spans="1:31">
      <c r="A27" s="43">
        <v>23</v>
      </c>
      <c r="B27" s="50"/>
      <c r="C27" s="53"/>
      <c r="D27" s="53"/>
      <c r="E27" s="54" t="s">
        <v>156</v>
      </c>
      <c r="F27" s="43" t="s">
        <v>153</v>
      </c>
      <c r="G27" s="46" t="s">
        <v>148</v>
      </c>
      <c r="H27" s="56"/>
      <c r="I27" s="63" t="str">
        <f>VLOOKUP(F27,{"Ⅰ","109";"Ⅱ","168";"Ⅲ","277";"Ⅳ","489";"Ⅴ","711";"Ⅵ","901"},2,0)</f>
        <v>711</v>
      </c>
      <c r="J27" s="64"/>
      <c r="K27" s="64">
        <f t="shared" si="29"/>
        <v>0</v>
      </c>
      <c r="L27" s="43" t="s">
        <v>133</v>
      </c>
      <c r="M27" s="65" t="str">
        <f>VLOOKUP(L27,{"甲级","1.2";"乙级","1.0";"丙级","0.8"},2,0)</f>
        <v>1.2</v>
      </c>
      <c r="N27" s="64">
        <f t="shared" si="30"/>
        <v>0</v>
      </c>
      <c r="O27" s="64">
        <f t="shared" ref="O27:O48" si="32">K27+N27</f>
        <v>0</v>
      </c>
      <c r="P27" s="69" t="s">
        <v>149</v>
      </c>
      <c r="Q27" s="76"/>
      <c r="R27" s="77">
        <f t="shared" si="13"/>
        <v>0</v>
      </c>
      <c r="S27" s="72">
        <f t="shared" si="16"/>
        <v>0</v>
      </c>
      <c r="T27" s="72" t="str">
        <f t="shared" si="17"/>
        <v>711</v>
      </c>
      <c r="U27" s="72">
        <f t="shared" si="18"/>
        <v>0</v>
      </c>
      <c r="V27" s="72" t="str">
        <f t="shared" si="19"/>
        <v>1.2</v>
      </c>
      <c r="W27" s="73">
        <f t="shared" si="20"/>
        <v>0</v>
      </c>
      <c r="X27" s="72"/>
      <c r="Y27" s="82"/>
      <c r="Z27" s="82">
        <f t="shared" si="21"/>
        <v>0</v>
      </c>
      <c r="AA27" s="82" t="str">
        <f t="shared" si="22"/>
        <v>711</v>
      </c>
      <c r="AB27" s="82">
        <f t="shared" si="23"/>
        <v>0</v>
      </c>
      <c r="AC27" s="82" t="str">
        <f t="shared" si="24"/>
        <v>1.2</v>
      </c>
      <c r="AD27" s="83">
        <f t="shared" si="25"/>
        <v>0</v>
      </c>
      <c r="AE27" s="82"/>
    </row>
    <row r="28" customHeight="1" spans="1:31">
      <c r="A28" s="47">
        <v>24</v>
      </c>
      <c r="B28" s="50"/>
      <c r="C28" s="53"/>
      <c r="D28" s="53"/>
      <c r="E28" s="54" t="s">
        <v>157</v>
      </c>
      <c r="F28" s="43" t="s">
        <v>158</v>
      </c>
      <c r="G28" s="46" t="s">
        <v>148</v>
      </c>
      <c r="H28" s="56"/>
      <c r="I28" s="63" t="str">
        <f>VLOOKUP(F28,{"Ⅰ","121";"Ⅱ","187";"Ⅲ","307";"Ⅳ","542";"Ⅴ","789";"Ⅵ","1000"},2,0)</f>
        <v>1000</v>
      </c>
      <c r="J28" s="64"/>
      <c r="K28" s="64">
        <f t="shared" si="29"/>
        <v>0</v>
      </c>
      <c r="L28" s="43" t="s">
        <v>133</v>
      </c>
      <c r="M28" s="65" t="str">
        <f>VLOOKUP(L28,{"甲级","1.2";"乙级","1.0";"丙级","0.8"},2,0)</f>
        <v>1.2</v>
      </c>
      <c r="N28" s="64">
        <f t="shared" si="30"/>
        <v>0</v>
      </c>
      <c r="O28" s="64">
        <f t="shared" si="32"/>
        <v>0</v>
      </c>
      <c r="P28" s="69" t="s">
        <v>149</v>
      </c>
      <c r="Q28" s="76"/>
      <c r="R28" s="77">
        <f t="shared" si="13"/>
        <v>0</v>
      </c>
      <c r="S28" s="72">
        <f t="shared" si="16"/>
        <v>0</v>
      </c>
      <c r="T28" s="72" t="str">
        <f t="shared" si="17"/>
        <v>1000</v>
      </c>
      <c r="U28" s="72">
        <f t="shared" si="18"/>
        <v>0</v>
      </c>
      <c r="V28" s="72" t="str">
        <f t="shared" si="19"/>
        <v>1.2</v>
      </c>
      <c r="W28" s="73">
        <f t="shared" si="20"/>
        <v>0</v>
      </c>
      <c r="X28" s="72"/>
      <c r="Y28" s="82"/>
      <c r="Z28" s="82">
        <f t="shared" si="21"/>
        <v>0</v>
      </c>
      <c r="AA28" s="82" t="str">
        <f t="shared" si="22"/>
        <v>1000</v>
      </c>
      <c r="AB28" s="82">
        <f t="shared" si="23"/>
        <v>0</v>
      </c>
      <c r="AC28" s="82" t="str">
        <f t="shared" si="24"/>
        <v>1.2</v>
      </c>
      <c r="AD28" s="83">
        <f t="shared" si="25"/>
        <v>0</v>
      </c>
      <c r="AE28" s="82"/>
    </row>
    <row r="29" customHeight="1" spans="1:31">
      <c r="A29" s="43">
        <v>25</v>
      </c>
      <c r="B29" s="50"/>
      <c r="C29" s="53"/>
      <c r="D29" s="53"/>
      <c r="E29" s="54" t="s">
        <v>159</v>
      </c>
      <c r="F29" s="43" t="s">
        <v>158</v>
      </c>
      <c r="G29" s="46" t="s">
        <v>148</v>
      </c>
      <c r="H29" s="56"/>
      <c r="I29" s="63" t="str">
        <f>VLOOKUP(F29,{"Ⅰ","132";"Ⅱ","204";"Ⅲ","335";"Ⅳ","592";"Ⅴ","862";"Ⅵ","1092"},2,0)</f>
        <v>1092</v>
      </c>
      <c r="J29" s="64"/>
      <c r="K29" s="64">
        <f t="shared" si="29"/>
        <v>0</v>
      </c>
      <c r="L29" s="43" t="s">
        <v>133</v>
      </c>
      <c r="M29" s="65" t="str">
        <f>VLOOKUP(L29,{"甲级","1.2";"乙级","1.0";"丙级","0.8"},2,0)</f>
        <v>1.2</v>
      </c>
      <c r="N29" s="64">
        <f t="shared" si="30"/>
        <v>0</v>
      </c>
      <c r="O29" s="64">
        <f t="shared" si="32"/>
        <v>0</v>
      </c>
      <c r="P29" s="69" t="s">
        <v>149</v>
      </c>
      <c r="Q29" s="76"/>
      <c r="R29" s="77">
        <f t="shared" si="13"/>
        <v>0</v>
      </c>
      <c r="S29" s="72">
        <f t="shared" si="16"/>
        <v>0</v>
      </c>
      <c r="T29" s="72" t="str">
        <f t="shared" si="17"/>
        <v>1092</v>
      </c>
      <c r="U29" s="72">
        <f t="shared" si="18"/>
        <v>0</v>
      </c>
      <c r="V29" s="72" t="str">
        <f t="shared" si="19"/>
        <v>1.2</v>
      </c>
      <c r="W29" s="73">
        <f t="shared" si="20"/>
        <v>0</v>
      </c>
      <c r="X29" s="72"/>
      <c r="Y29" s="82"/>
      <c r="Z29" s="82">
        <f t="shared" si="21"/>
        <v>0</v>
      </c>
      <c r="AA29" s="82" t="str">
        <f t="shared" si="22"/>
        <v>1092</v>
      </c>
      <c r="AB29" s="82">
        <f t="shared" si="23"/>
        <v>0</v>
      </c>
      <c r="AC29" s="82" t="str">
        <f t="shared" si="24"/>
        <v>1.2</v>
      </c>
      <c r="AD29" s="83">
        <f t="shared" si="25"/>
        <v>0</v>
      </c>
      <c r="AE29" s="82"/>
    </row>
    <row r="30" customHeight="1" spans="1:31">
      <c r="A30" s="47">
        <v>26</v>
      </c>
      <c r="B30" s="50"/>
      <c r="C30" s="53"/>
      <c r="D30" s="53"/>
      <c r="E30" s="54" t="s">
        <v>160</v>
      </c>
      <c r="F30" s="43" t="s">
        <v>158</v>
      </c>
      <c r="G30" s="46" t="s">
        <v>148</v>
      </c>
      <c r="H30" s="56"/>
      <c r="I30" s="63">
        <f t="shared" ref="I30:I45" si="33">I29*1.2</f>
        <v>1310.4</v>
      </c>
      <c r="J30" s="64"/>
      <c r="K30" s="64">
        <f t="shared" si="29"/>
        <v>0</v>
      </c>
      <c r="L30" s="43" t="s">
        <v>133</v>
      </c>
      <c r="M30" s="65" t="str">
        <f>VLOOKUP(L30,{"甲级","1.2";"乙级","1.0";"丙级","0.8"},2,0)</f>
        <v>1.2</v>
      </c>
      <c r="N30" s="64">
        <f t="shared" si="30"/>
        <v>0</v>
      </c>
      <c r="O30" s="64">
        <f t="shared" si="32"/>
        <v>0</v>
      </c>
      <c r="P30" s="69" t="s">
        <v>149</v>
      </c>
      <c r="Q30" s="76"/>
      <c r="R30" s="77">
        <f t="shared" si="13"/>
        <v>0</v>
      </c>
      <c r="S30" s="72">
        <f t="shared" si="16"/>
        <v>0</v>
      </c>
      <c r="T30" s="72">
        <f t="shared" si="17"/>
        <v>1310.4</v>
      </c>
      <c r="U30" s="72">
        <f t="shared" si="18"/>
        <v>0</v>
      </c>
      <c r="V30" s="72" t="str">
        <f t="shared" si="19"/>
        <v>1.2</v>
      </c>
      <c r="W30" s="73">
        <f t="shared" si="20"/>
        <v>0</v>
      </c>
      <c r="X30" s="72"/>
      <c r="Y30" s="82"/>
      <c r="Z30" s="82">
        <f t="shared" si="21"/>
        <v>0</v>
      </c>
      <c r="AA30" s="82">
        <f t="shared" si="22"/>
        <v>1310.4</v>
      </c>
      <c r="AB30" s="82">
        <f t="shared" si="23"/>
        <v>0</v>
      </c>
      <c r="AC30" s="82" t="str">
        <f t="shared" si="24"/>
        <v>1.2</v>
      </c>
      <c r="AD30" s="83">
        <f t="shared" si="25"/>
        <v>0</v>
      </c>
      <c r="AE30" s="82"/>
    </row>
    <row r="31" customHeight="1" spans="1:31">
      <c r="A31" s="43">
        <v>27</v>
      </c>
      <c r="B31" s="50"/>
      <c r="C31" s="53"/>
      <c r="D31" s="53"/>
      <c r="E31" s="54" t="s">
        <v>161</v>
      </c>
      <c r="F31" s="43" t="s">
        <v>158</v>
      </c>
      <c r="G31" s="46" t="s">
        <v>148</v>
      </c>
      <c r="H31" s="56"/>
      <c r="I31" s="63">
        <f t="shared" si="33"/>
        <v>1572.48</v>
      </c>
      <c r="J31" s="64"/>
      <c r="K31" s="64">
        <f t="shared" ref="K31:K48" si="34">I31*H31*J31</f>
        <v>0</v>
      </c>
      <c r="L31" s="43" t="s">
        <v>133</v>
      </c>
      <c r="M31" s="65" t="str">
        <f>VLOOKUP(L31,{"甲级","1.2";"乙级","1.0";"丙级","0.8"},2,0)</f>
        <v>1.2</v>
      </c>
      <c r="N31" s="64">
        <f t="shared" ref="N31:N48" si="35">K31*M31</f>
        <v>0</v>
      </c>
      <c r="O31" s="64">
        <f t="shared" si="32"/>
        <v>0</v>
      </c>
      <c r="P31" s="69" t="s">
        <v>149</v>
      </c>
      <c r="Q31" s="76"/>
      <c r="R31" s="77">
        <f t="shared" si="13"/>
        <v>0</v>
      </c>
      <c r="S31" s="72">
        <f t="shared" si="16"/>
        <v>0</v>
      </c>
      <c r="T31" s="72">
        <f t="shared" si="17"/>
        <v>1572.48</v>
      </c>
      <c r="U31" s="72">
        <f t="shared" si="18"/>
        <v>0</v>
      </c>
      <c r="V31" s="72" t="str">
        <f t="shared" si="19"/>
        <v>1.2</v>
      </c>
      <c r="W31" s="73">
        <f t="shared" si="20"/>
        <v>0</v>
      </c>
      <c r="X31" s="72"/>
      <c r="Y31" s="82"/>
      <c r="Z31" s="82">
        <f t="shared" si="21"/>
        <v>0</v>
      </c>
      <c r="AA31" s="82">
        <f t="shared" si="22"/>
        <v>1572.48</v>
      </c>
      <c r="AB31" s="82">
        <f t="shared" si="23"/>
        <v>0</v>
      </c>
      <c r="AC31" s="82" t="str">
        <f t="shared" si="24"/>
        <v>1.2</v>
      </c>
      <c r="AD31" s="83">
        <f t="shared" si="25"/>
        <v>0</v>
      </c>
      <c r="AE31" s="82"/>
    </row>
    <row r="32" customHeight="1" spans="1:31">
      <c r="A32" s="47">
        <v>28</v>
      </c>
      <c r="B32" s="50"/>
      <c r="C32" s="53"/>
      <c r="D32" s="53"/>
      <c r="E32" s="54" t="s">
        <v>162</v>
      </c>
      <c r="F32" s="43" t="s">
        <v>158</v>
      </c>
      <c r="G32" s="46" t="s">
        <v>148</v>
      </c>
      <c r="H32" s="56"/>
      <c r="I32" s="63">
        <f t="shared" si="33"/>
        <v>1886.976</v>
      </c>
      <c r="J32" s="64"/>
      <c r="K32" s="64">
        <f t="shared" si="34"/>
        <v>0</v>
      </c>
      <c r="L32" s="43" t="s">
        <v>133</v>
      </c>
      <c r="M32" s="65" t="str">
        <f>VLOOKUP(L32,{"甲级","1.2";"乙级","1.0";"丙级","0.8"},2,0)</f>
        <v>1.2</v>
      </c>
      <c r="N32" s="64">
        <f t="shared" si="35"/>
        <v>0</v>
      </c>
      <c r="O32" s="64">
        <f t="shared" si="32"/>
        <v>0</v>
      </c>
      <c r="P32" s="69" t="s">
        <v>149</v>
      </c>
      <c r="Q32" s="76"/>
      <c r="R32" s="77">
        <f t="shared" si="13"/>
        <v>0</v>
      </c>
      <c r="S32" s="72">
        <f t="shared" si="16"/>
        <v>0</v>
      </c>
      <c r="T32" s="72">
        <f t="shared" si="17"/>
        <v>1886.976</v>
      </c>
      <c r="U32" s="72">
        <f t="shared" si="18"/>
        <v>0</v>
      </c>
      <c r="V32" s="72" t="str">
        <f t="shared" si="19"/>
        <v>1.2</v>
      </c>
      <c r="W32" s="73">
        <f t="shared" si="20"/>
        <v>0</v>
      </c>
      <c r="X32" s="72"/>
      <c r="Y32" s="82"/>
      <c r="Z32" s="82">
        <f t="shared" si="21"/>
        <v>0</v>
      </c>
      <c r="AA32" s="82">
        <f t="shared" si="22"/>
        <v>1886.976</v>
      </c>
      <c r="AB32" s="82">
        <f t="shared" si="23"/>
        <v>0</v>
      </c>
      <c r="AC32" s="82" t="str">
        <f t="shared" si="24"/>
        <v>1.2</v>
      </c>
      <c r="AD32" s="83">
        <f t="shared" si="25"/>
        <v>0</v>
      </c>
      <c r="AE32" s="82"/>
    </row>
    <row r="33" customHeight="1" spans="1:31">
      <c r="A33" s="43">
        <v>29</v>
      </c>
      <c r="B33" s="50"/>
      <c r="C33" s="53"/>
      <c r="D33" s="53"/>
      <c r="E33" s="54" t="s">
        <v>163</v>
      </c>
      <c r="F33" s="43" t="s">
        <v>158</v>
      </c>
      <c r="G33" s="46" t="s">
        <v>148</v>
      </c>
      <c r="H33" s="56"/>
      <c r="I33" s="63">
        <f t="shared" si="33"/>
        <v>2264.3712</v>
      </c>
      <c r="J33" s="64"/>
      <c r="K33" s="64">
        <f t="shared" si="34"/>
        <v>0</v>
      </c>
      <c r="L33" s="43" t="s">
        <v>133</v>
      </c>
      <c r="M33" s="65" t="str">
        <f>VLOOKUP(L33,{"甲级","1.2";"乙级","1.0";"丙级","0.8"},2,0)</f>
        <v>1.2</v>
      </c>
      <c r="N33" s="64">
        <f t="shared" si="35"/>
        <v>0</v>
      </c>
      <c r="O33" s="64">
        <f t="shared" si="32"/>
        <v>0</v>
      </c>
      <c r="P33" s="69" t="s">
        <v>149</v>
      </c>
      <c r="Q33" s="76"/>
      <c r="R33" s="77">
        <f t="shared" si="13"/>
        <v>0</v>
      </c>
      <c r="S33" s="72">
        <f t="shared" si="16"/>
        <v>0</v>
      </c>
      <c r="T33" s="72">
        <f t="shared" si="17"/>
        <v>2264.3712</v>
      </c>
      <c r="U33" s="72">
        <f t="shared" si="18"/>
        <v>0</v>
      </c>
      <c r="V33" s="72" t="str">
        <f t="shared" si="19"/>
        <v>1.2</v>
      </c>
      <c r="W33" s="73">
        <f t="shared" si="20"/>
        <v>0</v>
      </c>
      <c r="X33" s="72"/>
      <c r="Y33" s="82"/>
      <c r="Z33" s="82">
        <f t="shared" si="21"/>
        <v>0</v>
      </c>
      <c r="AA33" s="82">
        <f t="shared" si="22"/>
        <v>2264.3712</v>
      </c>
      <c r="AB33" s="82">
        <f t="shared" si="23"/>
        <v>0</v>
      </c>
      <c r="AC33" s="82" t="str">
        <f t="shared" si="24"/>
        <v>1.2</v>
      </c>
      <c r="AD33" s="83">
        <f t="shared" si="25"/>
        <v>0</v>
      </c>
      <c r="AE33" s="82"/>
    </row>
    <row r="34" customHeight="1" spans="1:31">
      <c r="A34" s="47">
        <v>30</v>
      </c>
      <c r="B34" s="50"/>
      <c r="C34" s="53"/>
      <c r="D34" s="53"/>
      <c r="E34" s="54" t="s">
        <v>164</v>
      </c>
      <c r="F34" s="43" t="s">
        <v>158</v>
      </c>
      <c r="G34" s="46" t="s">
        <v>148</v>
      </c>
      <c r="H34" s="56"/>
      <c r="I34" s="63">
        <f t="shared" si="33"/>
        <v>2717.24544</v>
      </c>
      <c r="J34" s="64"/>
      <c r="K34" s="64">
        <f t="shared" si="34"/>
        <v>0</v>
      </c>
      <c r="L34" s="43" t="s">
        <v>133</v>
      </c>
      <c r="M34" s="65" t="str">
        <f>VLOOKUP(L34,{"甲级","1.2";"乙级","1.0";"丙级","0.8"},2,0)</f>
        <v>1.2</v>
      </c>
      <c r="N34" s="64">
        <f t="shared" si="35"/>
        <v>0</v>
      </c>
      <c r="O34" s="64">
        <f t="shared" si="32"/>
        <v>0</v>
      </c>
      <c r="P34" s="69" t="s">
        <v>149</v>
      </c>
      <c r="Q34" s="76"/>
      <c r="R34" s="77">
        <f t="shared" si="13"/>
        <v>0</v>
      </c>
      <c r="S34" s="72">
        <f t="shared" si="16"/>
        <v>0</v>
      </c>
      <c r="T34" s="72">
        <f t="shared" si="17"/>
        <v>2717.24544</v>
      </c>
      <c r="U34" s="72">
        <f t="shared" si="18"/>
        <v>0</v>
      </c>
      <c r="V34" s="72" t="str">
        <f t="shared" si="19"/>
        <v>1.2</v>
      </c>
      <c r="W34" s="73">
        <f t="shared" si="20"/>
        <v>0</v>
      </c>
      <c r="X34" s="72"/>
      <c r="Y34" s="82"/>
      <c r="Z34" s="82">
        <f t="shared" si="21"/>
        <v>0</v>
      </c>
      <c r="AA34" s="82">
        <f t="shared" si="22"/>
        <v>2717.24544</v>
      </c>
      <c r="AB34" s="82">
        <f t="shared" si="23"/>
        <v>0</v>
      </c>
      <c r="AC34" s="82" t="str">
        <f t="shared" si="24"/>
        <v>1.2</v>
      </c>
      <c r="AD34" s="83">
        <f t="shared" si="25"/>
        <v>0</v>
      </c>
      <c r="AE34" s="82"/>
    </row>
    <row r="35" customHeight="1" spans="1:31">
      <c r="A35" s="43">
        <v>31</v>
      </c>
      <c r="B35" s="50"/>
      <c r="C35" s="53"/>
      <c r="D35" s="53"/>
      <c r="E35" s="54" t="s">
        <v>165</v>
      </c>
      <c r="F35" s="43" t="s">
        <v>158</v>
      </c>
      <c r="G35" s="46" t="s">
        <v>148</v>
      </c>
      <c r="H35" s="46"/>
      <c r="I35" s="63">
        <f t="shared" si="33"/>
        <v>3260.694528</v>
      </c>
      <c r="J35" s="64"/>
      <c r="K35" s="64">
        <f t="shared" si="34"/>
        <v>0</v>
      </c>
      <c r="L35" s="43" t="s">
        <v>133</v>
      </c>
      <c r="M35" s="65" t="str">
        <f>VLOOKUP(L35,{"甲级","1.2";"乙级","1.0";"丙级","0.8"},2,0)</f>
        <v>1.2</v>
      </c>
      <c r="N35" s="64">
        <f t="shared" si="35"/>
        <v>0</v>
      </c>
      <c r="O35" s="64">
        <f t="shared" si="32"/>
        <v>0</v>
      </c>
      <c r="P35" s="69" t="s">
        <v>149</v>
      </c>
      <c r="Q35" s="76"/>
      <c r="R35" s="77">
        <f t="shared" si="13"/>
        <v>0</v>
      </c>
      <c r="S35" s="72">
        <f t="shared" si="16"/>
        <v>0</v>
      </c>
      <c r="T35" s="72">
        <f t="shared" si="17"/>
        <v>3260.694528</v>
      </c>
      <c r="U35" s="72">
        <f t="shared" si="18"/>
        <v>0</v>
      </c>
      <c r="V35" s="72" t="str">
        <f t="shared" si="19"/>
        <v>1.2</v>
      </c>
      <c r="W35" s="73">
        <f t="shared" si="20"/>
        <v>0</v>
      </c>
      <c r="X35" s="72"/>
      <c r="Y35" s="82"/>
      <c r="Z35" s="82">
        <f t="shared" si="21"/>
        <v>0</v>
      </c>
      <c r="AA35" s="82">
        <f t="shared" si="22"/>
        <v>3260.694528</v>
      </c>
      <c r="AB35" s="82">
        <f t="shared" si="23"/>
        <v>0</v>
      </c>
      <c r="AC35" s="82" t="str">
        <f t="shared" si="24"/>
        <v>1.2</v>
      </c>
      <c r="AD35" s="83">
        <f t="shared" si="25"/>
        <v>0</v>
      </c>
      <c r="AE35" s="82"/>
    </row>
    <row r="36" customHeight="1" spans="1:31">
      <c r="A36" s="47">
        <v>32</v>
      </c>
      <c r="B36" s="50"/>
      <c r="C36" s="53"/>
      <c r="D36" s="53"/>
      <c r="E36" s="54" t="s">
        <v>166</v>
      </c>
      <c r="F36" s="43" t="s">
        <v>158</v>
      </c>
      <c r="G36" s="46" t="s">
        <v>148</v>
      </c>
      <c r="H36" s="46"/>
      <c r="I36" s="63">
        <f t="shared" si="33"/>
        <v>3912.8334336</v>
      </c>
      <c r="J36" s="64"/>
      <c r="K36" s="64">
        <f t="shared" si="34"/>
        <v>0</v>
      </c>
      <c r="L36" s="43" t="s">
        <v>133</v>
      </c>
      <c r="M36" s="65" t="str">
        <f>VLOOKUP(L36,{"甲级","1.2";"乙级","1.0";"丙级","0.8"},2,0)</f>
        <v>1.2</v>
      </c>
      <c r="N36" s="64">
        <f t="shared" si="35"/>
        <v>0</v>
      </c>
      <c r="O36" s="64">
        <f t="shared" si="32"/>
        <v>0</v>
      </c>
      <c r="P36" s="69" t="s">
        <v>149</v>
      </c>
      <c r="Q36" s="76"/>
      <c r="R36" s="77">
        <f t="shared" si="13"/>
        <v>0</v>
      </c>
      <c r="S36" s="72">
        <f t="shared" si="16"/>
        <v>0</v>
      </c>
      <c r="T36" s="72">
        <f t="shared" si="17"/>
        <v>3912.8334336</v>
      </c>
      <c r="U36" s="72">
        <f t="shared" si="18"/>
        <v>0</v>
      </c>
      <c r="V36" s="72" t="str">
        <f t="shared" si="19"/>
        <v>1.2</v>
      </c>
      <c r="W36" s="73">
        <f t="shared" si="20"/>
        <v>0</v>
      </c>
      <c r="X36" s="72"/>
      <c r="Y36" s="82"/>
      <c r="Z36" s="82">
        <f t="shared" si="21"/>
        <v>0</v>
      </c>
      <c r="AA36" s="82">
        <f t="shared" si="22"/>
        <v>3912.8334336</v>
      </c>
      <c r="AB36" s="82">
        <f t="shared" si="23"/>
        <v>0</v>
      </c>
      <c r="AC36" s="82" t="str">
        <f t="shared" si="24"/>
        <v>1.2</v>
      </c>
      <c r="AD36" s="83">
        <f t="shared" si="25"/>
        <v>0</v>
      </c>
      <c r="AE36" s="82"/>
    </row>
    <row r="37" customHeight="1" spans="1:31">
      <c r="A37" s="43">
        <v>33</v>
      </c>
      <c r="B37" s="50"/>
      <c r="C37" s="53"/>
      <c r="D37" s="53"/>
      <c r="E37" s="54" t="s">
        <v>167</v>
      </c>
      <c r="F37" s="43" t="s">
        <v>158</v>
      </c>
      <c r="G37" s="46" t="s">
        <v>148</v>
      </c>
      <c r="H37" s="46"/>
      <c r="I37" s="63">
        <f t="shared" si="33"/>
        <v>4695.40012032</v>
      </c>
      <c r="J37" s="64"/>
      <c r="K37" s="64">
        <f t="shared" si="34"/>
        <v>0</v>
      </c>
      <c r="L37" s="43" t="s">
        <v>133</v>
      </c>
      <c r="M37" s="65" t="str">
        <f>VLOOKUP(L37,{"甲级","1.2";"乙级","1.0";"丙级","0.8"},2,0)</f>
        <v>1.2</v>
      </c>
      <c r="N37" s="64">
        <f t="shared" si="35"/>
        <v>0</v>
      </c>
      <c r="O37" s="64">
        <f t="shared" si="32"/>
        <v>0</v>
      </c>
      <c r="P37" s="69" t="s">
        <v>149</v>
      </c>
      <c r="Q37" s="78"/>
      <c r="R37" s="77">
        <f t="shared" si="13"/>
        <v>0</v>
      </c>
      <c r="S37" s="72">
        <f t="shared" si="16"/>
        <v>0</v>
      </c>
      <c r="T37" s="72">
        <f t="shared" si="17"/>
        <v>4695.40012032</v>
      </c>
      <c r="U37" s="72">
        <f t="shared" si="18"/>
        <v>0</v>
      </c>
      <c r="V37" s="72" t="str">
        <f t="shared" si="19"/>
        <v>1.2</v>
      </c>
      <c r="W37" s="73">
        <f t="shared" si="20"/>
        <v>0</v>
      </c>
      <c r="X37" s="72"/>
      <c r="Y37" s="82"/>
      <c r="Z37" s="82">
        <f t="shared" si="21"/>
        <v>0</v>
      </c>
      <c r="AA37" s="82">
        <f t="shared" si="22"/>
        <v>4695.40012032</v>
      </c>
      <c r="AB37" s="82">
        <f t="shared" si="23"/>
        <v>0</v>
      </c>
      <c r="AC37" s="82" t="str">
        <f t="shared" si="24"/>
        <v>1.2</v>
      </c>
      <c r="AD37" s="83">
        <f t="shared" si="25"/>
        <v>0</v>
      </c>
      <c r="AE37" s="82"/>
    </row>
    <row r="38" customHeight="1" spans="1:31">
      <c r="A38" s="47">
        <v>34</v>
      </c>
      <c r="B38" s="50"/>
      <c r="C38" s="53"/>
      <c r="D38" s="53"/>
      <c r="E38" s="54" t="s">
        <v>168</v>
      </c>
      <c r="F38" s="43" t="s">
        <v>158</v>
      </c>
      <c r="G38" s="46" t="s">
        <v>148</v>
      </c>
      <c r="H38" s="46"/>
      <c r="I38" s="63">
        <f t="shared" si="33"/>
        <v>5634.480144384</v>
      </c>
      <c r="J38" s="64"/>
      <c r="K38" s="64">
        <f t="shared" si="34"/>
        <v>0</v>
      </c>
      <c r="L38" s="43" t="s">
        <v>133</v>
      </c>
      <c r="M38" s="65" t="str">
        <f>VLOOKUP(L38,{"甲级","1.2";"乙级","1.0";"丙级","0.8"},2,0)</f>
        <v>1.2</v>
      </c>
      <c r="N38" s="64">
        <f t="shared" si="35"/>
        <v>0</v>
      </c>
      <c r="O38" s="64">
        <f t="shared" si="32"/>
        <v>0</v>
      </c>
      <c r="P38" s="69" t="s">
        <v>149</v>
      </c>
      <c r="Q38" s="79"/>
      <c r="R38" s="77">
        <f t="shared" si="13"/>
        <v>0</v>
      </c>
      <c r="S38" s="72">
        <f t="shared" si="16"/>
        <v>0</v>
      </c>
      <c r="T38" s="72">
        <f t="shared" si="17"/>
        <v>5634.480144384</v>
      </c>
      <c r="U38" s="72">
        <f t="shared" si="18"/>
        <v>0</v>
      </c>
      <c r="V38" s="72" t="str">
        <f t="shared" si="19"/>
        <v>1.2</v>
      </c>
      <c r="W38" s="73">
        <f t="shared" si="20"/>
        <v>0</v>
      </c>
      <c r="X38" s="72"/>
      <c r="Y38" s="82"/>
      <c r="Z38" s="82">
        <f t="shared" si="21"/>
        <v>0</v>
      </c>
      <c r="AA38" s="82">
        <f t="shared" si="22"/>
        <v>5634.480144384</v>
      </c>
      <c r="AB38" s="82">
        <f t="shared" si="23"/>
        <v>0</v>
      </c>
      <c r="AC38" s="82" t="str">
        <f t="shared" si="24"/>
        <v>1.2</v>
      </c>
      <c r="AD38" s="83">
        <f t="shared" si="25"/>
        <v>0</v>
      </c>
      <c r="AE38" s="82"/>
    </row>
    <row r="39" customHeight="1" spans="1:31">
      <c r="A39" s="43">
        <v>35</v>
      </c>
      <c r="B39" s="50"/>
      <c r="C39" s="53"/>
      <c r="D39" s="53"/>
      <c r="E39" s="54" t="s">
        <v>169</v>
      </c>
      <c r="F39" s="43" t="s">
        <v>158</v>
      </c>
      <c r="G39" s="46" t="s">
        <v>148</v>
      </c>
      <c r="H39" s="46"/>
      <c r="I39" s="63">
        <f t="shared" si="33"/>
        <v>6761.3761732608</v>
      </c>
      <c r="J39" s="64"/>
      <c r="K39" s="64">
        <f t="shared" si="34"/>
        <v>0</v>
      </c>
      <c r="L39" s="43" t="s">
        <v>133</v>
      </c>
      <c r="M39" s="65" t="str">
        <f>VLOOKUP(L39,{"甲级","1.2";"乙级","1.0";"丙级","0.8"},2,0)</f>
        <v>1.2</v>
      </c>
      <c r="N39" s="64">
        <f t="shared" si="35"/>
        <v>0</v>
      </c>
      <c r="O39" s="64">
        <f t="shared" si="32"/>
        <v>0</v>
      </c>
      <c r="P39" s="69" t="s">
        <v>149</v>
      </c>
      <c r="Q39" s="79"/>
      <c r="R39" s="77">
        <f t="shared" si="13"/>
        <v>0</v>
      </c>
      <c r="S39" s="72">
        <f t="shared" si="16"/>
        <v>0</v>
      </c>
      <c r="T39" s="72">
        <f t="shared" si="17"/>
        <v>6761.3761732608</v>
      </c>
      <c r="U39" s="72">
        <f t="shared" si="18"/>
        <v>0</v>
      </c>
      <c r="V39" s="72" t="str">
        <f t="shared" si="19"/>
        <v>1.2</v>
      </c>
      <c r="W39" s="73">
        <f t="shared" si="20"/>
        <v>0</v>
      </c>
      <c r="X39" s="72"/>
      <c r="Y39" s="82"/>
      <c r="Z39" s="82">
        <f t="shared" si="21"/>
        <v>0</v>
      </c>
      <c r="AA39" s="82">
        <f t="shared" si="22"/>
        <v>6761.3761732608</v>
      </c>
      <c r="AB39" s="82">
        <f t="shared" si="23"/>
        <v>0</v>
      </c>
      <c r="AC39" s="82" t="str">
        <f t="shared" si="24"/>
        <v>1.2</v>
      </c>
      <c r="AD39" s="83">
        <f t="shared" si="25"/>
        <v>0</v>
      </c>
      <c r="AE39" s="82"/>
    </row>
    <row r="40" customHeight="1" spans="1:31">
      <c r="A40" s="47">
        <v>36</v>
      </c>
      <c r="B40" s="50"/>
      <c r="C40" s="53"/>
      <c r="D40" s="53"/>
      <c r="E40" s="54" t="s">
        <v>170</v>
      </c>
      <c r="F40" s="43" t="s">
        <v>158</v>
      </c>
      <c r="G40" s="46" t="s">
        <v>148</v>
      </c>
      <c r="H40" s="46"/>
      <c r="I40" s="63">
        <f t="shared" si="33"/>
        <v>8113.65140791296</v>
      </c>
      <c r="J40" s="64"/>
      <c r="K40" s="64">
        <f t="shared" si="34"/>
        <v>0</v>
      </c>
      <c r="L40" s="43" t="s">
        <v>133</v>
      </c>
      <c r="M40" s="65" t="str">
        <f>VLOOKUP(L40,{"甲级","1.2";"乙级","1.0";"丙级","0.8"},2,0)</f>
        <v>1.2</v>
      </c>
      <c r="N40" s="64">
        <f t="shared" si="35"/>
        <v>0</v>
      </c>
      <c r="O40" s="64">
        <f t="shared" si="32"/>
        <v>0</v>
      </c>
      <c r="P40" s="69" t="s">
        <v>149</v>
      </c>
      <c r="Q40" s="79"/>
      <c r="R40" s="77">
        <f t="shared" si="13"/>
        <v>0</v>
      </c>
      <c r="S40" s="72">
        <f t="shared" si="16"/>
        <v>0</v>
      </c>
      <c r="T40" s="72">
        <f t="shared" si="17"/>
        <v>8113.65140791296</v>
      </c>
      <c r="U40" s="72">
        <f t="shared" si="18"/>
        <v>0</v>
      </c>
      <c r="V40" s="72" t="str">
        <f t="shared" si="19"/>
        <v>1.2</v>
      </c>
      <c r="W40" s="73">
        <f t="shared" si="20"/>
        <v>0</v>
      </c>
      <c r="X40" s="72"/>
      <c r="Y40" s="82"/>
      <c r="Z40" s="82">
        <f t="shared" si="21"/>
        <v>0</v>
      </c>
      <c r="AA40" s="82">
        <f t="shared" si="22"/>
        <v>8113.65140791296</v>
      </c>
      <c r="AB40" s="82">
        <f t="shared" si="23"/>
        <v>0</v>
      </c>
      <c r="AC40" s="82" t="str">
        <f t="shared" si="24"/>
        <v>1.2</v>
      </c>
      <c r="AD40" s="83">
        <f t="shared" si="25"/>
        <v>0</v>
      </c>
      <c r="AE40" s="82"/>
    </row>
    <row r="41" customHeight="1" spans="1:31">
      <c r="A41" s="43">
        <v>37</v>
      </c>
      <c r="B41" s="50"/>
      <c r="C41" s="53"/>
      <c r="D41" s="53"/>
      <c r="E41" s="54" t="s">
        <v>171</v>
      </c>
      <c r="F41" s="43" t="s">
        <v>158</v>
      </c>
      <c r="G41" s="46" t="s">
        <v>148</v>
      </c>
      <c r="H41" s="46"/>
      <c r="I41" s="63">
        <f t="shared" si="33"/>
        <v>9736.38168949555</v>
      </c>
      <c r="J41" s="64"/>
      <c r="K41" s="64">
        <f t="shared" si="34"/>
        <v>0</v>
      </c>
      <c r="L41" s="43" t="s">
        <v>133</v>
      </c>
      <c r="M41" s="65" t="str">
        <f>VLOOKUP(L41,{"甲级","1.2";"乙级","1.0";"丙级","0.8"},2,0)</f>
        <v>1.2</v>
      </c>
      <c r="N41" s="64">
        <f t="shared" si="35"/>
        <v>0</v>
      </c>
      <c r="O41" s="64">
        <f t="shared" si="32"/>
        <v>0</v>
      </c>
      <c r="P41" s="69" t="s">
        <v>149</v>
      </c>
      <c r="Q41" s="80"/>
      <c r="R41" s="77">
        <f t="shared" ref="R41:R82" si="36">S41-H41</f>
        <v>0</v>
      </c>
      <c r="S41" s="72">
        <f t="shared" si="16"/>
        <v>0</v>
      </c>
      <c r="T41" s="72">
        <f t="shared" si="17"/>
        <v>9736.38168949555</v>
      </c>
      <c r="U41" s="72">
        <f t="shared" si="18"/>
        <v>0</v>
      </c>
      <c r="V41" s="72" t="str">
        <f t="shared" si="19"/>
        <v>1.2</v>
      </c>
      <c r="W41" s="73">
        <f t="shared" si="20"/>
        <v>0</v>
      </c>
      <c r="X41" s="72"/>
      <c r="Y41" s="82"/>
      <c r="Z41" s="82">
        <f t="shared" si="21"/>
        <v>0</v>
      </c>
      <c r="AA41" s="82">
        <f t="shared" si="22"/>
        <v>9736.38168949555</v>
      </c>
      <c r="AB41" s="82">
        <f t="shared" si="23"/>
        <v>0</v>
      </c>
      <c r="AC41" s="82" t="str">
        <f t="shared" si="24"/>
        <v>1.2</v>
      </c>
      <c r="AD41" s="83">
        <f t="shared" si="25"/>
        <v>0</v>
      </c>
      <c r="AE41" s="82"/>
    </row>
    <row r="42" customHeight="1" spans="1:31">
      <c r="A42" s="47">
        <v>38</v>
      </c>
      <c r="B42" s="50"/>
      <c r="C42" s="53"/>
      <c r="D42" s="53"/>
      <c r="E42" s="54" t="s">
        <v>172</v>
      </c>
      <c r="F42" s="43" t="s">
        <v>158</v>
      </c>
      <c r="G42" s="46" t="s">
        <v>148</v>
      </c>
      <c r="H42" s="46"/>
      <c r="I42" s="63">
        <f t="shared" si="33"/>
        <v>11683.6580273947</v>
      </c>
      <c r="J42" s="64"/>
      <c r="K42" s="64">
        <f t="shared" si="34"/>
        <v>0</v>
      </c>
      <c r="L42" s="43" t="s">
        <v>133</v>
      </c>
      <c r="M42" s="65" t="str">
        <f>VLOOKUP(L42,{"甲级","1.2";"乙级","1.0";"丙级","0.8"},2,0)</f>
        <v>1.2</v>
      </c>
      <c r="N42" s="64">
        <f t="shared" si="35"/>
        <v>0</v>
      </c>
      <c r="O42" s="64">
        <f t="shared" si="32"/>
        <v>0</v>
      </c>
      <c r="P42" s="69" t="s">
        <v>149</v>
      </c>
      <c r="Q42" s="81"/>
      <c r="R42" s="77">
        <f t="shared" si="36"/>
        <v>0</v>
      </c>
      <c r="S42" s="72">
        <f t="shared" si="16"/>
        <v>0</v>
      </c>
      <c r="T42" s="72">
        <f t="shared" si="17"/>
        <v>11683.6580273947</v>
      </c>
      <c r="U42" s="72">
        <f t="shared" si="18"/>
        <v>0</v>
      </c>
      <c r="V42" s="72" t="str">
        <f t="shared" si="19"/>
        <v>1.2</v>
      </c>
      <c r="W42" s="73">
        <f t="shared" si="20"/>
        <v>0</v>
      </c>
      <c r="X42" s="72"/>
      <c r="Y42" s="82"/>
      <c r="Z42" s="82">
        <f t="shared" si="21"/>
        <v>0</v>
      </c>
      <c r="AA42" s="82">
        <f t="shared" si="22"/>
        <v>11683.6580273947</v>
      </c>
      <c r="AB42" s="82">
        <f t="shared" si="23"/>
        <v>0</v>
      </c>
      <c r="AC42" s="82" t="str">
        <f t="shared" si="24"/>
        <v>1.2</v>
      </c>
      <c r="AD42" s="83">
        <f t="shared" si="25"/>
        <v>0</v>
      </c>
      <c r="AE42" s="82"/>
    </row>
    <row r="43" customHeight="1" spans="1:31">
      <c r="A43" s="43">
        <v>39</v>
      </c>
      <c r="B43" s="50"/>
      <c r="C43" s="53"/>
      <c r="D43" s="53"/>
      <c r="E43" s="54" t="s">
        <v>173</v>
      </c>
      <c r="F43" s="43" t="s">
        <v>158</v>
      </c>
      <c r="G43" s="46" t="s">
        <v>148</v>
      </c>
      <c r="H43" s="46"/>
      <c r="I43" s="63">
        <f t="shared" si="33"/>
        <v>14020.3896328736</v>
      </c>
      <c r="J43" s="64"/>
      <c r="K43" s="64">
        <f t="shared" si="34"/>
        <v>0</v>
      </c>
      <c r="L43" s="43" t="s">
        <v>133</v>
      </c>
      <c r="M43" s="65" t="str">
        <f>VLOOKUP(L43,{"甲级","1.2";"乙级","1.0";"丙级","0.8"},2,0)</f>
        <v>1.2</v>
      </c>
      <c r="N43" s="64">
        <f t="shared" si="35"/>
        <v>0</v>
      </c>
      <c r="O43" s="64">
        <f t="shared" si="32"/>
        <v>0</v>
      </c>
      <c r="P43" s="69" t="s">
        <v>149</v>
      </c>
      <c r="Q43" s="81"/>
      <c r="R43" s="77">
        <f t="shared" si="36"/>
        <v>0</v>
      </c>
      <c r="S43" s="72">
        <f t="shared" si="16"/>
        <v>0</v>
      </c>
      <c r="T43" s="72">
        <f t="shared" si="17"/>
        <v>14020.3896328736</v>
      </c>
      <c r="U43" s="72">
        <f t="shared" si="18"/>
        <v>0</v>
      </c>
      <c r="V43" s="72" t="str">
        <f t="shared" si="19"/>
        <v>1.2</v>
      </c>
      <c r="W43" s="73">
        <f t="shared" si="20"/>
        <v>0</v>
      </c>
      <c r="X43" s="72"/>
      <c r="Y43" s="82"/>
      <c r="Z43" s="82">
        <f t="shared" si="21"/>
        <v>0</v>
      </c>
      <c r="AA43" s="82">
        <f t="shared" si="22"/>
        <v>14020.3896328736</v>
      </c>
      <c r="AB43" s="82">
        <f t="shared" si="23"/>
        <v>0</v>
      </c>
      <c r="AC43" s="82" t="str">
        <f t="shared" si="24"/>
        <v>1.2</v>
      </c>
      <c r="AD43" s="83">
        <f t="shared" si="25"/>
        <v>0</v>
      </c>
      <c r="AE43" s="82"/>
    </row>
    <row r="44" customHeight="1" spans="1:31">
      <c r="A44" s="47">
        <v>40</v>
      </c>
      <c r="B44" s="50"/>
      <c r="C44" s="53"/>
      <c r="D44" s="53"/>
      <c r="E44" s="54" t="s">
        <v>174</v>
      </c>
      <c r="F44" s="43" t="s">
        <v>158</v>
      </c>
      <c r="G44" s="46" t="s">
        <v>148</v>
      </c>
      <c r="H44" s="46"/>
      <c r="I44" s="63">
        <f t="shared" si="33"/>
        <v>16824.4675594483</v>
      </c>
      <c r="J44" s="64"/>
      <c r="K44" s="64">
        <f t="shared" si="34"/>
        <v>0</v>
      </c>
      <c r="L44" s="43" t="s">
        <v>133</v>
      </c>
      <c r="M44" s="65" t="str">
        <f>VLOOKUP(L44,{"甲级","1.2";"乙级","1.0";"丙级","0.8"},2,0)</f>
        <v>1.2</v>
      </c>
      <c r="N44" s="64">
        <f t="shared" si="35"/>
        <v>0</v>
      </c>
      <c r="O44" s="64">
        <f t="shared" si="32"/>
        <v>0</v>
      </c>
      <c r="P44" s="69"/>
      <c r="Q44" s="76"/>
      <c r="R44" s="77">
        <f t="shared" si="36"/>
        <v>0</v>
      </c>
      <c r="S44" s="72">
        <f t="shared" si="16"/>
        <v>0</v>
      </c>
      <c r="T44" s="72">
        <f t="shared" si="17"/>
        <v>16824.4675594483</v>
      </c>
      <c r="U44" s="72">
        <f t="shared" si="18"/>
        <v>0</v>
      </c>
      <c r="V44" s="72" t="str">
        <f t="shared" si="19"/>
        <v>1.2</v>
      </c>
      <c r="W44" s="73">
        <f t="shared" si="20"/>
        <v>0</v>
      </c>
      <c r="X44" s="72"/>
      <c r="Y44" s="82"/>
      <c r="Z44" s="82">
        <f t="shared" si="21"/>
        <v>0</v>
      </c>
      <c r="AA44" s="82">
        <f t="shared" si="22"/>
        <v>16824.4675594483</v>
      </c>
      <c r="AB44" s="82">
        <f t="shared" si="23"/>
        <v>0</v>
      </c>
      <c r="AC44" s="82" t="str">
        <f t="shared" si="24"/>
        <v>1.2</v>
      </c>
      <c r="AD44" s="83">
        <f t="shared" si="25"/>
        <v>0</v>
      </c>
      <c r="AE44" s="82"/>
    </row>
    <row r="45" customHeight="1" spans="1:31">
      <c r="A45" s="43">
        <v>41</v>
      </c>
      <c r="B45" s="50"/>
      <c r="C45" s="53"/>
      <c r="D45" s="53"/>
      <c r="E45" s="54" t="s">
        <v>175</v>
      </c>
      <c r="F45" s="43" t="s">
        <v>158</v>
      </c>
      <c r="G45" s="46" t="s">
        <v>148</v>
      </c>
      <c r="H45" s="46"/>
      <c r="I45" s="63">
        <f t="shared" si="33"/>
        <v>20189.361071338</v>
      </c>
      <c r="J45" s="64"/>
      <c r="K45" s="64">
        <f t="shared" si="34"/>
        <v>0</v>
      </c>
      <c r="L45" s="43" t="s">
        <v>133</v>
      </c>
      <c r="M45" s="65" t="str">
        <f>VLOOKUP(L45,{"甲级","1.2";"乙级","1.0";"丙级","0.8"},2,0)</f>
        <v>1.2</v>
      </c>
      <c r="N45" s="64">
        <f t="shared" si="35"/>
        <v>0</v>
      </c>
      <c r="O45" s="64">
        <f t="shared" si="32"/>
        <v>0</v>
      </c>
      <c r="P45" s="69"/>
      <c r="Q45" s="76"/>
      <c r="R45" s="77">
        <f t="shared" si="36"/>
        <v>0</v>
      </c>
      <c r="S45" s="72">
        <f t="shared" si="16"/>
        <v>0</v>
      </c>
      <c r="T45" s="72">
        <f t="shared" si="17"/>
        <v>20189.361071338</v>
      </c>
      <c r="U45" s="72">
        <f t="shared" si="18"/>
        <v>0</v>
      </c>
      <c r="V45" s="72" t="str">
        <f t="shared" si="19"/>
        <v>1.2</v>
      </c>
      <c r="W45" s="73">
        <f t="shared" si="20"/>
        <v>0</v>
      </c>
      <c r="X45" s="72"/>
      <c r="Y45" s="82"/>
      <c r="Z45" s="82">
        <f t="shared" si="21"/>
        <v>0</v>
      </c>
      <c r="AA45" s="82">
        <f t="shared" si="22"/>
        <v>20189.361071338</v>
      </c>
      <c r="AB45" s="82">
        <f t="shared" si="23"/>
        <v>0</v>
      </c>
      <c r="AC45" s="82" t="str">
        <f t="shared" si="24"/>
        <v>1.2</v>
      </c>
      <c r="AD45" s="83">
        <f t="shared" si="25"/>
        <v>0</v>
      </c>
      <c r="AE45" s="82"/>
    </row>
    <row r="46" customHeight="1" spans="1:31">
      <c r="A46" s="47">
        <v>42</v>
      </c>
      <c r="B46" s="50"/>
      <c r="C46" s="53" t="s">
        <v>144</v>
      </c>
      <c r="D46" s="53" t="s">
        <v>176</v>
      </c>
      <c r="E46" s="54" t="s">
        <v>146</v>
      </c>
      <c r="F46" s="43" t="s">
        <v>147</v>
      </c>
      <c r="G46" s="46" t="s">
        <v>148</v>
      </c>
      <c r="H46" s="46"/>
      <c r="I46" s="63" t="str">
        <f>VLOOKUP(F46,{"Ⅰ","46";"Ⅱ","71";"Ⅲ","117";"Ⅳ","207";"Ⅴ","301";"Ⅵ","382"},2,0)</f>
        <v>117</v>
      </c>
      <c r="J46" s="64"/>
      <c r="K46" s="64">
        <f t="shared" si="34"/>
        <v>0</v>
      </c>
      <c r="L46" s="43" t="s">
        <v>133</v>
      </c>
      <c r="M46" s="65" t="str">
        <f>VLOOKUP(L46,{"甲级","1.2";"乙级","1.0";"丙级","0.8"},2,0)</f>
        <v>1.2</v>
      </c>
      <c r="N46" s="64">
        <f t="shared" si="35"/>
        <v>0</v>
      </c>
      <c r="O46" s="64">
        <f t="shared" si="32"/>
        <v>0</v>
      </c>
      <c r="P46" s="69" t="s">
        <v>149</v>
      </c>
      <c r="Q46" s="76"/>
      <c r="R46" s="77">
        <f t="shared" si="36"/>
        <v>0</v>
      </c>
      <c r="S46" s="72">
        <f t="shared" si="16"/>
        <v>0</v>
      </c>
      <c r="T46" s="72" t="str">
        <f t="shared" si="17"/>
        <v>117</v>
      </c>
      <c r="U46" s="72">
        <f t="shared" si="18"/>
        <v>0</v>
      </c>
      <c r="V46" s="72" t="str">
        <f t="shared" si="19"/>
        <v>1.2</v>
      </c>
      <c r="W46" s="73">
        <f t="shared" si="20"/>
        <v>0</v>
      </c>
      <c r="X46" s="72"/>
      <c r="Y46" s="82"/>
      <c r="Z46" s="82">
        <f t="shared" si="21"/>
        <v>0</v>
      </c>
      <c r="AA46" s="82" t="str">
        <f t="shared" si="22"/>
        <v>117</v>
      </c>
      <c r="AB46" s="82">
        <f t="shared" si="23"/>
        <v>0</v>
      </c>
      <c r="AC46" s="82" t="str">
        <f t="shared" si="24"/>
        <v>1.2</v>
      </c>
      <c r="AD46" s="83">
        <f t="shared" si="25"/>
        <v>0</v>
      </c>
      <c r="AE46" s="82"/>
    </row>
    <row r="47" customHeight="1" spans="1:31">
      <c r="A47" s="43">
        <v>43</v>
      </c>
      <c r="B47" s="50"/>
      <c r="C47" s="53"/>
      <c r="D47" s="53"/>
      <c r="E47" s="54" t="s">
        <v>146</v>
      </c>
      <c r="F47" s="43" t="s">
        <v>147</v>
      </c>
      <c r="G47" s="46" t="s">
        <v>148</v>
      </c>
      <c r="H47" s="46"/>
      <c r="I47" s="63" t="str">
        <f>VLOOKUP(F47,{"Ⅰ","46";"Ⅱ","71";"Ⅲ","117";"Ⅳ","207";"Ⅴ","301";"Ⅵ","382"},2,0)</f>
        <v>117</v>
      </c>
      <c r="J47" s="64"/>
      <c r="K47" s="64">
        <f t="shared" si="34"/>
        <v>0</v>
      </c>
      <c r="L47" s="43" t="s">
        <v>133</v>
      </c>
      <c r="M47" s="65" t="str">
        <f>VLOOKUP(L47,{"甲级","1.2";"乙级","1.0";"丙级","0.8"},2,0)</f>
        <v>1.2</v>
      </c>
      <c r="N47" s="64">
        <f t="shared" si="35"/>
        <v>0</v>
      </c>
      <c r="O47" s="64">
        <f t="shared" si="32"/>
        <v>0</v>
      </c>
      <c r="P47" s="69" t="s">
        <v>149</v>
      </c>
      <c r="Q47" s="76"/>
      <c r="R47" s="77">
        <f t="shared" si="36"/>
        <v>0</v>
      </c>
      <c r="S47" s="72">
        <f t="shared" si="16"/>
        <v>0</v>
      </c>
      <c r="T47" s="72" t="str">
        <f t="shared" si="17"/>
        <v>117</v>
      </c>
      <c r="U47" s="72">
        <f t="shared" si="18"/>
        <v>0</v>
      </c>
      <c r="V47" s="72" t="str">
        <f t="shared" si="19"/>
        <v>1.2</v>
      </c>
      <c r="W47" s="73">
        <f t="shared" si="20"/>
        <v>0</v>
      </c>
      <c r="X47" s="72"/>
      <c r="Y47" s="82"/>
      <c r="Z47" s="82">
        <f t="shared" si="21"/>
        <v>0</v>
      </c>
      <c r="AA47" s="82" t="str">
        <f t="shared" si="22"/>
        <v>117</v>
      </c>
      <c r="AB47" s="82">
        <f t="shared" si="23"/>
        <v>0</v>
      </c>
      <c r="AC47" s="82" t="str">
        <f t="shared" si="24"/>
        <v>1.2</v>
      </c>
      <c r="AD47" s="83">
        <f t="shared" si="25"/>
        <v>0</v>
      </c>
      <c r="AE47" s="82"/>
    </row>
    <row r="48" customHeight="1" spans="1:31">
      <c r="A48" s="47">
        <v>44</v>
      </c>
      <c r="B48" s="50"/>
      <c r="C48" s="53"/>
      <c r="D48" s="53"/>
      <c r="E48" s="54" t="s">
        <v>151</v>
      </c>
      <c r="F48" s="43" t="s">
        <v>150</v>
      </c>
      <c r="G48" s="46" t="s">
        <v>148</v>
      </c>
      <c r="H48" s="46"/>
      <c r="I48" s="63" t="str">
        <f>VLOOKUP(F48,{"Ⅰ","58";"Ⅱ","89";"Ⅲ","147";"Ⅳ","259";"Ⅴ","377";"Ⅵ","477"},2,0)</f>
        <v>259</v>
      </c>
      <c r="J48" s="64"/>
      <c r="K48" s="64">
        <f t="shared" si="34"/>
        <v>0</v>
      </c>
      <c r="L48" s="43" t="s">
        <v>133</v>
      </c>
      <c r="M48" s="65" t="str">
        <f>VLOOKUP(L48,{"甲级","1.2";"乙级","1.0";"丙级","0.8"},2,0)</f>
        <v>1.2</v>
      </c>
      <c r="N48" s="64">
        <f t="shared" si="35"/>
        <v>0</v>
      </c>
      <c r="O48" s="64">
        <f t="shared" si="32"/>
        <v>0</v>
      </c>
      <c r="P48" s="69" t="s">
        <v>149</v>
      </c>
      <c r="Q48" s="76"/>
      <c r="R48" s="77">
        <f t="shared" si="36"/>
        <v>0</v>
      </c>
      <c r="S48" s="72">
        <f t="shared" si="16"/>
        <v>0</v>
      </c>
      <c r="T48" s="72" t="str">
        <f t="shared" si="17"/>
        <v>259</v>
      </c>
      <c r="U48" s="72">
        <f t="shared" si="18"/>
        <v>0</v>
      </c>
      <c r="V48" s="72" t="str">
        <f t="shared" si="19"/>
        <v>1.2</v>
      </c>
      <c r="W48" s="73">
        <f t="shared" si="20"/>
        <v>0</v>
      </c>
      <c r="X48" s="72"/>
      <c r="Y48" s="82"/>
      <c r="Z48" s="82">
        <f t="shared" si="21"/>
        <v>0</v>
      </c>
      <c r="AA48" s="82" t="str">
        <f t="shared" si="22"/>
        <v>259</v>
      </c>
      <c r="AB48" s="82">
        <f t="shared" si="23"/>
        <v>0</v>
      </c>
      <c r="AC48" s="82" t="str">
        <f t="shared" si="24"/>
        <v>1.2</v>
      </c>
      <c r="AD48" s="83">
        <f t="shared" si="25"/>
        <v>0</v>
      </c>
      <c r="AE48" s="82"/>
    </row>
    <row r="49" customHeight="1" spans="1:31">
      <c r="A49" s="43">
        <v>45</v>
      </c>
      <c r="B49" s="50"/>
      <c r="C49" s="53"/>
      <c r="D49" s="53"/>
      <c r="E49" s="54" t="s">
        <v>151</v>
      </c>
      <c r="F49" s="43" t="s">
        <v>150</v>
      </c>
      <c r="G49" s="46" t="s">
        <v>148</v>
      </c>
      <c r="H49" s="46"/>
      <c r="I49" s="63" t="str">
        <f>VLOOKUP(F49,{"Ⅰ","58";"Ⅱ","89";"Ⅲ","147";"Ⅳ","259";"Ⅴ","377";"Ⅵ","477"},2,0)</f>
        <v>259</v>
      </c>
      <c r="J49" s="64"/>
      <c r="K49" s="64">
        <f t="shared" ref="K49:K55" si="37">I49*H49*J49</f>
        <v>0</v>
      </c>
      <c r="L49" s="43" t="s">
        <v>133</v>
      </c>
      <c r="M49" s="65" t="str">
        <f>VLOOKUP(L49,{"甲级","1.2";"乙级","1.0";"丙级","0.8"},2,0)</f>
        <v>1.2</v>
      </c>
      <c r="N49" s="64">
        <f t="shared" ref="N49:N55" si="38">K49*M49</f>
        <v>0</v>
      </c>
      <c r="O49" s="64">
        <f t="shared" ref="O49:O58" si="39">K49+N49</f>
        <v>0</v>
      </c>
      <c r="P49" s="69" t="s">
        <v>149</v>
      </c>
      <c r="Q49" s="76"/>
      <c r="R49" s="77">
        <f t="shared" si="36"/>
        <v>0</v>
      </c>
      <c r="S49" s="72">
        <f t="shared" si="16"/>
        <v>0</v>
      </c>
      <c r="T49" s="72" t="str">
        <f t="shared" si="17"/>
        <v>259</v>
      </c>
      <c r="U49" s="72">
        <f t="shared" si="18"/>
        <v>0</v>
      </c>
      <c r="V49" s="72" t="str">
        <f t="shared" si="19"/>
        <v>1.2</v>
      </c>
      <c r="W49" s="73">
        <f t="shared" si="20"/>
        <v>0</v>
      </c>
      <c r="X49" s="72"/>
      <c r="Y49" s="82"/>
      <c r="Z49" s="82">
        <f t="shared" si="21"/>
        <v>0</v>
      </c>
      <c r="AA49" s="82" t="str">
        <f t="shared" si="22"/>
        <v>259</v>
      </c>
      <c r="AB49" s="82">
        <f t="shared" si="23"/>
        <v>0</v>
      </c>
      <c r="AC49" s="82" t="str">
        <f t="shared" si="24"/>
        <v>1.2</v>
      </c>
      <c r="AD49" s="83">
        <f t="shared" si="25"/>
        <v>0</v>
      </c>
      <c r="AE49" s="82"/>
    </row>
    <row r="50" customHeight="1" spans="1:31">
      <c r="A50" s="47">
        <v>46</v>
      </c>
      <c r="B50" s="50"/>
      <c r="C50" s="53"/>
      <c r="D50" s="53"/>
      <c r="E50" s="54" t="s">
        <v>152</v>
      </c>
      <c r="F50" s="43" t="s">
        <v>150</v>
      </c>
      <c r="G50" s="46" t="s">
        <v>148</v>
      </c>
      <c r="H50" s="46"/>
      <c r="I50" s="63" t="str">
        <f>VLOOKUP(F50,{"Ⅰ","69";"Ⅱ","107";"Ⅲ","176";"Ⅳ","311";"Ⅴ","452";"Ⅵ","573"},2,0)</f>
        <v>311</v>
      </c>
      <c r="J50" s="64"/>
      <c r="K50" s="64">
        <f t="shared" si="37"/>
        <v>0</v>
      </c>
      <c r="L50" s="43" t="s">
        <v>133</v>
      </c>
      <c r="M50" s="65" t="str">
        <f>VLOOKUP(L50,{"甲级","1.2";"乙级","1.0";"丙级","0.8"},2,0)</f>
        <v>1.2</v>
      </c>
      <c r="N50" s="64">
        <f t="shared" si="38"/>
        <v>0</v>
      </c>
      <c r="O50" s="64">
        <f t="shared" si="39"/>
        <v>0</v>
      </c>
      <c r="P50" s="69" t="s">
        <v>149</v>
      </c>
      <c r="Q50" s="76"/>
      <c r="R50" s="77">
        <f t="shared" si="36"/>
        <v>0</v>
      </c>
      <c r="S50" s="72">
        <f t="shared" si="16"/>
        <v>0</v>
      </c>
      <c r="T50" s="72" t="str">
        <f t="shared" si="17"/>
        <v>311</v>
      </c>
      <c r="U50" s="72">
        <f t="shared" si="18"/>
        <v>0</v>
      </c>
      <c r="V50" s="72" t="str">
        <f t="shared" si="19"/>
        <v>1.2</v>
      </c>
      <c r="W50" s="73">
        <f t="shared" si="20"/>
        <v>0</v>
      </c>
      <c r="X50" s="72"/>
      <c r="Y50" s="82"/>
      <c r="Z50" s="82">
        <f t="shared" si="21"/>
        <v>0</v>
      </c>
      <c r="AA50" s="82" t="str">
        <f t="shared" si="22"/>
        <v>311</v>
      </c>
      <c r="AB50" s="82">
        <f t="shared" si="23"/>
        <v>0</v>
      </c>
      <c r="AC50" s="82" t="str">
        <f t="shared" si="24"/>
        <v>1.2</v>
      </c>
      <c r="AD50" s="83">
        <f t="shared" si="25"/>
        <v>0</v>
      </c>
      <c r="AE50" s="82"/>
    </row>
    <row r="51" customHeight="1" spans="1:31">
      <c r="A51" s="43">
        <v>47</v>
      </c>
      <c r="B51" s="50"/>
      <c r="C51" s="53"/>
      <c r="D51" s="53"/>
      <c r="E51" s="54" t="s">
        <v>152</v>
      </c>
      <c r="F51" s="43" t="s">
        <v>150</v>
      </c>
      <c r="G51" s="46" t="s">
        <v>148</v>
      </c>
      <c r="H51" s="46"/>
      <c r="I51" s="63" t="str">
        <f>VLOOKUP(F51,{"Ⅰ","69";"Ⅱ","107";"Ⅲ","176";"Ⅳ","311";"Ⅴ","452";"Ⅵ","573"},2,0)</f>
        <v>311</v>
      </c>
      <c r="J51" s="64"/>
      <c r="K51" s="64">
        <f t="shared" si="37"/>
        <v>0</v>
      </c>
      <c r="L51" s="43" t="s">
        <v>133</v>
      </c>
      <c r="M51" s="65" t="str">
        <f>VLOOKUP(L51,{"甲级","1.2";"乙级","1.0";"丙级","0.8"},2,0)</f>
        <v>1.2</v>
      </c>
      <c r="N51" s="64">
        <f t="shared" si="38"/>
        <v>0</v>
      </c>
      <c r="O51" s="64">
        <f t="shared" si="39"/>
        <v>0</v>
      </c>
      <c r="P51" s="69" t="s">
        <v>149</v>
      </c>
      <c r="Q51" s="76"/>
      <c r="R51" s="77">
        <f t="shared" si="36"/>
        <v>0</v>
      </c>
      <c r="S51" s="72">
        <f t="shared" si="16"/>
        <v>0</v>
      </c>
      <c r="T51" s="72" t="str">
        <f t="shared" si="17"/>
        <v>311</v>
      </c>
      <c r="U51" s="72">
        <f t="shared" si="18"/>
        <v>0</v>
      </c>
      <c r="V51" s="72" t="str">
        <f t="shared" si="19"/>
        <v>1.2</v>
      </c>
      <c r="W51" s="73">
        <f t="shared" si="20"/>
        <v>0</v>
      </c>
      <c r="X51" s="72"/>
      <c r="Y51" s="82"/>
      <c r="Z51" s="82">
        <f t="shared" si="21"/>
        <v>0</v>
      </c>
      <c r="AA51" s="82" t="str">
        <f t="shared" si="22"/>
        <v>311</v>
      </c>
      <c r="AB51" s="82">
        <f t="shared" si="23"/>
        <v>0</v>
      </c>
      <c r="AC51" s="82" t="str">
        <f t="shared" si="24"/>
        <v>1.2</v>
      </c>
      <c r="AD51" s="83">
        <f t="shared" si="25"/>
        <v>0</v>
      </c>
      <c r="AE51" s="82"/>
    </row>
    <row r="52" customHeight="1" spans="1:31">
      <c r="A52" s="47">
        <v>48</v>
      </c>
      <c r="B52" s="50"/>
      <c r="C52" s="53"/>
      <c r="D52" s="53"/>
      <c r="E52" s="54" t="s">
        <v>154</v>
      </c>
      <c r="F52" s="43" t="s">
        <v>153</v>
      </c>
      <c r="G52" s="46" t="s">
        <v>148</v>
      </c>
      <c r="H52" s="46"/>
      <c r="I52" s="63" t="str">
        <f>VLOOKUP(F52,{"Ⅰ","82";"Ⅱ","127";"Ⅲ","209";"Ⅳ","368";"Ⅴ","536";"Ⅵ","680"},2,0)</f>
        <v>536</v>
      </c>
      <c r="J52" s="64"/>
      <c r="K52" s="64">
        <f t="shared" si="37"/>
        <v>0</v>
      </c>
      <c r="L52" s="43" t="s">
        <v>133</v>
      </c>
      <c r="M52" s="65" t="str">
        <f>VLOOKUP(L52,{"甲级","1.2";"乙级","1.0";"丙级","0.8"},2,0)</f>
        <v>1.2</v>
      </c>
      <c r="N52" s="64">
        <f t="shared" si="38"/>
        <v>0</v>
      </c>
      <c r="O52" s="64">
        <f t="shared" si="39"/>
        <v>0</v>
      </c>
      <c r="P52" s="69" t="s">
        <v>149</v>
      </c>
      <c r="Q52" s="76"/>
      <c r="R52" s="77">
        <f t="shared" si="36"/>
        <v>0</v>
      </c>
      <c r="S52" s="72">
        <f t="shared" si="16"/>
        <v>0</v>
      </c>
      <c r="T52" s="72" t="str">
        <f t="shared" si="17"/>
        <v>536</v>
      </c>
      <c r="U52" s="72">
        <f t="shared" si="18"/>
        <v>0</v>
      </c>
      <c r="V52" s="72" t="str">
        <f t="shared" si="19"/>
        <v>1.2</v>
      </c>
      <c r="W52" s="73">
        <f t="shared" si="20"/>
        <v>0</v>
      </c>
      <c r="X52" s="72"/>
      <c r="Y52" s="82"/>
      <c r="Z52" s="82">
        <f t="shared" si="21"/>
        <v>0</v>
      </c>
      <c r="AA52" s="82" t="str">
        <f t="shared" si="22"/>
        <v>536</v>
      </c>
      <c r="AB52" s="82">
        <f t="shared" si="23"/>
        <v>0</v>
      </c>
      <c r="AC52" s="82" t="str">
        <f t="shared" si="24"/>
        <v>1.2</v>
      </c>
      <c r="AD52" s="83">
        <f t="shared" si="25"/>
        <v>0</v>
      </c>
      <c r="AE52" s="82"/>
    </row>
    <row r="53" customHeight="1" spans="1:31">
      <c r="A53" s="43">
        <v>49</v>
      </c>
      <c r="B53" s="50"/>
      <c r="C53" s="53"/>
      <c r="D53" s="53"/>
      <c r="E53" s="54" t="s">
        <v>154</v>
      </c>
      <c r="F53" s="43" t="s">
        <v>153</v>
      </c>
      <c r="G53" s="46" t="s">
        <v>148</v>
      </c>
      <c r="H53" s="46"/>
      <c r="I53" s="63" t="str">
        <f>VLOOKUP(F53,{"Ⅰ","82";"Ⅱ","127";"Ⅲ","209";"Ⅳ","368";"Ⅴ","536";"Ⅵ","680"},2,0)</f>
        <v>536</v>
      </c>
      <c r="J53" s="64"/>
      <c r="K53" s="64">
        <f t="shared" si="37"/>
        <v>0</v>
      </c>
      <c r="L53" s="43" t="s">
        <v>133</v>
      </c>
      <c r="M53" s="65" t="str">
        <f>VLOOKUP(L53,{"甲级","1.2";"乙级","1.0";"丙级","0.8"},2,0)</f>
        <v>1.2</v>
      </c>
      <c r="N53" s="64">
        <f t="shared" si="38"/>
        <v>0</v>
      </c>
      <c r="O53" s="64">
        <f t="shared" si="39"/>
        <v>0</v>
      </c>
      <c r="P53" s="69" t="s">
        <v>149</v>
      </c>
      <c r="Q53" s="76"/>
      <c r="R53" s="77">
        <f t="shared" si="36"/>
        <v>0</v>
      </c>
      <c r="S53" s="72">
        <f t="shared" si="16"/>
        <v>0</v>
      </c>
      <c r="T53" s="72" t="str">
        <f t="shared" si="17"/>
        <v>536</v>
      </c>
      <c r="U53" s="72">
        <f t="shared" si="18"/>
        <v>0</v>
      </c>
      <c r="V53" s="72" t="str">
        <f t="shared" si="19"/>
        <v>1.2</v>
      </c>
      <c r="W53" s="73">
        <f t="shared" si="20"/>
        <v>0</v>
      </c>
      <c r="X53" s="72"/>
      <c r="Y53" s="82"/>
      <c r="Z53" s="82">
        <f t="shared" si="21"/>
        <v>0</v>
      </c>
      <c r="AA53" s="82" t="str">
        <f t="shared" si="22"/>
        <v>536</v>
      </c>
      <c r="AB53" s="82">
        <f t="shared" si="23"/>
        <v>0</v>
      </c>
      <c r="AC53" s="82" t="str">
        <f t="shared" si="24"/>
        <v>1.2</v>
      </c>
      <c r="AD53" s="83">
        <f t="shared" si="25"/>
        <v>0</v>
      </c>
      <c r="AE53" s="82"/>
    </row>
    <row r="54" customHeight="1" spans="1:31">
      <c r="A54" s="47">
        <v>50</v>
      </c>
      <c r="B54" s="50"/>
      <c r="C54" s="53"/>
      <c r="D54" s="53"/>
      <c r="E54" s="54" t="s">
        <v>155</v>
      </c>
      <c r="F54" s="43" t="s">
        <v>153</v>
      </c>
      <c r="G54" s="46" t="s">
        <v>148</v>
      </c>
      <c r="H54" s="46"/>
      <c r="I54" s="63" t="str">
        <f>VLOOKUP(F54,{"Ⅰ","98";"Ⅱ","151";"Ⅲ","249";"Ⅳ","439";"Ⅴ","639";"Ⅵ","809"},2,0)</f>
        <v>639</v>
      </c>
      <c r="J54" s="64"/>
      <c r="K54" s="64">
        <f t="shared" si="37"/>
        <v>0</v>
      </c>
      <c r="L54" s="43" t="s">
        <v>133</v>
      </c>
      <c r="M54" s="65" t="str">
        <f>VLOOKUP(L54,{"甲级","1.2";"乙级","1.0";"丙级","0.8"},2,0)</f>
        <v>1.2</v>
      </c>
      <c r="N54" s="64">
        <f t="shared" si="38"/>
        <v>0</v>
      </c>
      <c r="O54" s="64">
        <f t="shared" si="39"/>
        <v>0</v>
      </c>
      <c r="P54" s="69" t="s">
        <v>149</v>
      </c>
      <c r="Q54" s="76"/>
      <c r="R54" s="77">
        <f t="shared" si="36"/>
        <v>0</v>
      </c>
      <c r="S54" s="72">
        <f t="shared" si="16"/>
        <v>0</v>
      </c>
      <c r="T54" s="72" t="str">
        <f t="shared" si="17"/>
        <v>639</v>
      </c>
      <c r="U54" s="72">
        <f t="shared" si="18"/>
        <v>0</v>
      </c>
      <c r="V54" s="72" t="str">
        <f t="shared" si="19"/>
        <v>1.2</v>
      </c>
      <c r="W54" s="73">
        <f t="shared" si="20"/>
        <v>0</v>
      </c>
      <c r="X54" s="72"/>
      <c r="Y54" s="82"/>
      <c r="Z54" s="82">
        <f t="shared" si="21"/>
        <v>0</v>
      </c>
      <c r="AA54" s="82" t="str">
        <f t="shared" si="22"/>
        <v>639</v>
      </c>
      <c r="AB54" s="82">
        <f t="shared" si="23"/>
        <v>0</v>
      </c>
      <c r="AC54" s="82" t="str">
        <f t="shared" si="24"/>
        <v>1.2</v>
      </c>
      <c r="AD54" s="83">
        <f t="shared" si="25"/>
        <v>0</v>
      </c>
      <c r="AE54" s="82"/>
    </row>
    <row r="55" customHeight="1" spans="1:31">
      <c r="A55" s="43">
        <v>51</v>
      </c>
      <c r="B55" s="50"/>
      <c r="C55" s="53"/>
      <c r="D55" s="53"/>
      <c r="E55" s="54" t="s">
        <v>155</v>
      </c>
      <c r="F55" s="43" t="s">
        <v>153</v>
      </c>
      <c r="G55" s="46" t="s">
        <v>148</v>
      </c>
      <c r="H55" s="46"/>
      <c r="I55" s="63" t="str">
        <f>VLOOKUP(F55,{"Ⅰ","98";"Ⅱ","151";"Ⅲ","249";"Ⅳ","439";"Ⅴ","639";"Ⅵ","809"},2,0)</f>
        <v>639</v>
      </c>
      <c r="J55" s="64"/>
      <c r="K55" s="64">
        <f t="shared" si="37"/>
        <v>0</v>
      </c>
      <c r="L55" s="43" t="s">
        <v>133</v>
      </c>
      <c r="M55" s="65" t="str">
        <f>VLOOKUP(L55,{"甲级","1.2";"乙级","1.0";"丙级","0.8"},2,0)</f>
        <v>1.2</v>
      </c>
      <c r="N55" s="64">
        <f t="shared" si="38"/>
        <v>0</v>
      </c>
      <c r="O55" s="64">
        <f t="shared" si="39"/>
        <v>0</v>
      </c>
      <c r="P55" s="69" t="s">
        <v>149</v>
      </c>
      <c r="Q55" s="76"/>
      <c r="R55" s="77">
        <f t="shared" si="36"/>
        <v>0</v>
      </c>
      <c r="S55" s="72">
        <f t="shared" si="16"/>
        <v>0</v>
      </c>
      <c r="T55" s="72" t="str">
        <f t="shared" si="17"/>
        <v>639</v>
      </c>
      <c r="U55" s="72">
        <f t="shared" si="18"/>
        <v>0</v>
      </c>
      <c r="V55" s="72" t="str">
        <f t="shared" si="19"/>
        <v>1.2</v>
      </c>
      <c r="W55" s="73">
        <f t="shared" si="20"/>
        <v>0</v>
      </c>
      <c r="X55" s="72"/>
      <c r="Y55" s="82"/>
      <c r="Z55" s="82">
        <f t="shared" si="21"/>
        <v>0</v>
      </c>
      <c r="AA55" s="82" t="str">
        <f t="shared" si="22"/>
        <v>639</v>
      </c>
      <c r="AB55" s="82">
        <f t="shared" si="23"/>
        <v>0</v>
      </c>
      <c r="AC55" s="82" t="str">
        <f t="shared" si="24"/>
        <v>1.2</v>
      </c>
      <c r="AD55" s="83">
        <f t="shared" si="25"/>
        <v>0</v>
      </c>
      <c r="AE55" s="82"/>
    </row>
    <row r="56" customHeight="1" spans="1:31">
      <c r="A56" s="47">
        <v>52</v>
      </c>
      <c r="B56" s="50"/>
      <c r="C56" s="53"/>
      <c r="D56" s="53"/>
      <c r="E56" s="54" t="s">
        <v>156</v>
      </c>
      <c r="F56" s="43" t="s">
        <v>153</v>
      </c>
      <c r="G56" s="46" t="s">
        <v>148</v>
      </c>
      <c r="H56" s="46"/>
      <c r="I56" s="63" t="str">
        <f>VLOOKUP(F56,{"Ⅰ","109";"Ⅱ","168";"Ⅲ","277";"Ⅳ","489";"Ⅴ","711";"Ⅵ","901"},2,0)</f>
        <v>711</v>
      </c>
      <c r="J56" s="64"/>
      <c r="K56" s="64">
        <f t="shared" ref="K56:K73" si="40">I56*H56*J56</f>
        <v>0</v>
      </c>
      <c r="L56" s="43" t="s">
        <v>133</v>
      </c>
      <c r="M56" s="65" t="str">
        <f>VLOOKUP(L56,{"甲级","1.2";"乙级","1.0";"丙级","0.8"},2,0)</f>
        <v>1.2</v>
      </c>
      <c r="N56" s="64">
        <f t="shared" ref="N56:N73" si="41">K56*M56</f>
        <v>0</v>
      </c>
      <c r="O56" s="64">
        <f t="shared" si="39"/>
        <v>0</v>
      </c>
      <c r="P56" s="69" t="s">
        <v>149</v>
      </c>
      <c r="Q56" s="76"/>
      <c r="R56" s="77">
        <f t="shared" si="36"/>
        <v>0</v>
      </c>
      <c r="S56" s="72">
        <f t="shared" si="16"/>
        <v>0</v>
      </c>
      <c r="T56" s="72" t="str">
        <f t="shared" si="17"/>
        <v>711</v>
      </c>
      <c r="U56" s="72">
        <f t="shared" si="18"/>
        <v>0</v>
      </c>
      <c r="V56" s="72" t="str">
        <f t="shared" si="19"/>
        <v>1.2</v>
      </c>
      <c r="W56" s="73">
        <f t="shared" si="20"/>
        <v>0</v>
      </c>
      <c r="X56" s="72"/>
      <c r="Y56" s="82"/>
      <c r="Z56" s="82">
        <f t="shared" si="21"/>
        <v>0</v>
      </c>
      <c r="AA56" s="82" t="str">
        <f t="shared" si="22"/>
        <v>711</v>
      </c>
      <c r="AB56" s="82">
        <f t="shared" si="23"/>
        <v>0</v>
      </c>
      <c r="AC56" s="82" t="str">
        <f t="shared" si="24"/>
        <v>1.2</v>
      </c>
      <c r="AD56" s="83">
        <f t="shared" si="25"/>
        <v>0</v>
      </c>
      <c r="AE56" s="82"/>
    </row>
    <row r="57" customHeight="1" spans="1:31">
      <c r="A57" s="43">
        <v>53</v>
      </c>
      <c r="B57" s="50"/>
      <c r="C57" s="53"/>
      <c r="D57" s="53"/>
      <c r="E57" s="54" t="s">
        <v>157</v>
      </c>
      <c r="F57" s="43" t="s">
        <v>177</v>
      </c>
      <c r="G57" s="46" t="s">
        <v>148</v>
      </c>
      <c r="H57" s="46"/>
      <c r="I57" s="63" t="str">
        <f>VLOOKUP(F57,{"Ⅰ","121";"Ⅱ","187";"Ⅲ","307";"Ⅳ","542";"Ⅴ","789";"Ⅵ","1000"},2,0)</f>
        <v>121</v>
      </c>
      <c r="J57" s="64"/>
      <c r="K57" s="64">
        <f t="shared" si="40"/>
        <v>0</v>
      </c>
      <c r="L57" s="43" t="s">
        <v>133</v>
      </c>
      <c r="M57" s="65" t="str">
        <f>VLOOKUP(L57,{"甲级","1.2";"乙级","1.0";"丙级","0.8"},2,0)</f>
        <v>1.2</v>
      </c>
      <c r="N57" s="64">
        <f t="shared" si="41"/>
        <v>0</v>
      </c>
      <c r="O57" s="64">
        <f t="shared" si="39"/>
        <v>0</v>
      </c>
      <c r="P57" s="69" t="s">
        <v>149</v>
      </c>
      <c r="Q57" s="76"/>
      <c r="R57" s="77">
        <f t="shared" si="36"/>
        <v>0</v>
      </c>
      <c r="S57" s="72">
        <f t="shared" si="16"/>
        <v>0</v>
      </c>
      <c r="T57" s="72" t="str">
        <f t="shared" si="17"/>
        <v>121</v>
      </c>
      <c r="U57" s="72">
        <f t="shared" si="18"/>
        <v>0</v>
      </c>
      <c r="V57" s="72" t="str">
        <f t="shared" si="19"/>
        <v>1.2</v>
      </c>
      <c r="W57" s="73">
        <f t="shared" si="20"/>
        <v>0</v>
      </c>
      <c r="X57" s="72"/>
      <c r="Y57" s="82"/>
      <c r="Z57" s="82">
        <f t="shared" si="21"/>
        <v>0</v>
      </c>
      <c r="AA57" s="82" t="str">
        <f t="shared" si="22"/>
        <v>121</v>
      </c>
      <c r="AB57" s="82">
        <f t="shared" si="23"/>
        <v>0</v>
      </c>
      <c r="AC57" s="82" t="str">
        <f t="shared" si="24"/>
        <v>1.2</v>
      </c>
      <c r="AD57" s="83">
        <f t="shared" si="25"/>
        <v>0</v>
      </c>
      <c r="AE57" s="82"/>
    </row>
    <row r="58" customHeight="1" spans="1:31">
      <c r="A58" s="47">
        <v>54</v>
      </c>
      <c r="B58" s="50"/>
      <c r="C58" s="53"/>
      <c r="D58" s="53"/>
      <c r="E58" s="54" t="s">
        <v>159</v>
      </c>
      <c r="F58" s="43" t="s">
        <v>158</v>
      </c>
      <c r="G58" s="46" t="s">
        <v>148</v>
      </c>
      <c r="H58" s="46"/>
      <c r="I58" s="63" t="str">
        <f>VLOOKUP(F58,{"Ⅰ","132";"Ⅱ","204";"Ⅲ","335";"Ⅳ","592";"Ⅴ","862";"Ⅵ","1092"},2,0)</f>
        <v>1092</v>
      </c>
      <c r="J58" s="64"/>
      <c r="K58" s="64">
        <f t="shared" si="40"/>
        <v>0</v>
      </c>
      <c r="L58" s="43" t="s">
        <v>133</v>
      </c>
      <c r="M58" s="65" t="str">
        <f>VLOOKUP(L58,{"甲级","1.2";"乙级","1.0";"丙级","0.8"},2,0)</f>
        <v>1.2</v>
      </c>
      <c r="N58" s="64">
        <f t="shared" si="41"/>
        <v>0</v>
      </c>
      <c r="O58" s="64">
        <f t="shared" si="39"/>
        <v>0</v>
      </c>
      <c r="P58" s="69" t="s">
        <v>149</v>
      </c>
      <c r="Q58" s="76"/>
      <c r="R58" s="77">
        <f t="shared" si="36"/>
        <v>0</v>
      </c>
      <c r="S58" s="72">
        <f t="shared" si="16"/>
        <v>0</v>
      </c>
      <c r="T58" s="72" t="str">
        <f t="shared" si="17"/>
        <v>1092</v>
      </c>
      <c r="U58" s="72">
        <f t="shared" si="18"/>
        <v>0</v>
      </c>
      <c r="V58" s="72" t="str">
        <f t="shared" si="19"/>
        <v>1.2</v>
      </c>
      <c r="W58" s="73">
        <f t="shared" si="20"/>
        <v>0</v>
      </c>
      <c r="X58" s="72"/>
      <c r="Y58" s="82"/>
      <c r="Z58" s="82">
        <f t="shared" si="21"/>
        <v>0</v>
      </c>
      <c r="AA58" s="82" t="str">
        <f t="shared" si="22"/>
        <v>1092</v>
      </c>
      <c r="AB58" s="82">
        <f t="shared" si="23"/>
        <v>0</v>
      </c>
      <c r="AC58" s="82" t="str">
        <f t="shared" si="24"/>
        <v>1.2</v>
      </c>
      <c r="AD58" s="83">
        <f t="shared" si="25"/>
        <v>0</v>
      </c>
      <c r="AE58" s="82"/>
    </row>
    <row r="59" customHeight="1" spans="1:31">
      <c r="A59" s="43">
        <v>55</v>
      </c>
      <c r="B59" s="50"/>
      <c r="C59" s="53"/>
      <c r="D59" s="53"/>
      <c r="E59" s="54" t="s">
        <v>160</v>
      </c>
      <c r="F59" s="43" t="str">
        <f>F58</f>
        <v>Ⅵ</v>
      </c>
      <c r="G59" s="46" t="s">
        <v>148</v>
      </c>
      <c r="H59" s="46"/>
      <c r="I59" s="63">
        <f t="shared" ref="I59:I63" si="42">I58*1.2</f>
        <v>1310.4</v>
      </c>
      <c r="J59" s="64"/>
      <c r="K59" s="64">
        <f t="shared" si="40"/>
        <v>0</v>
      </c>
      <c r="L59" s="43" t="s">
        <v>133</v>
      </c>
      <c r="M59" s="65" t="str">
        <f>VLOOKUP(L59,{"甲级","1.2";"乙级","1.0";"丙级","0.8"},2,0)</f>
        <v>1.2</v>
      </c>
      <c r="N59" s="64">
        <f t="shared" ref="N59:N68" si="43">K59*M59</f>
        <v>0</v>
      </c>
      <c r="O59" s="64">
        <f t="shared" ref="O59:O73" si="44">K59+N59</f>
        <v>0</v>
      </c>
      <c r="P59" s="69" t="s">
        <v>149</v>
      </c>
      <c r="Q59" s="76"/>
      <c r="R59" s="77">
        <f t="shared" si="36"/>
        <v>0</v>
      </c>
      <c r="S59" s="72">
        <f t="shared" si="16"/>
        <v>0</v>
      </c>
      <c r="T59" s="72">
        <f t="shared" si="17"/>
        <v>1310.4</v>
      </c>
      <c r="U59" s="72">
        <f t="shared" si="18"/>
        <v>0</v>
      </c>
      <c r="V59" s="72" t="str">
        <f t="shared" si="19"/>
        <v>1.2</v>
      </c>
      <c r="W59" s="73">
        <f t="shared" si="20"/>
        <v>0</v>
      </c>
      <c r="X59" s="72"/>
      <c r="Y59" s="82"/>
      <c r="Z59" s="82">
        <f t="shared" si="21"/>
        <v>0</v>
      </c>
      <c r="AA59" s="82">
        <f t="shared" si="22"/>
        <v>1310.4</v>
      </c>
      <c r="AB59" s="82">
        <f t="shared" si="23"/>
        <v>0</v>
      </c>
      <c r="AC59" s="82" t="str">
        <f t="shared" si="24"/>
        <v>1.2</v>
      </c>
      <c r="AD59" s="83">
        <f t="shared" si="25"/>
        <v>0</v>
      </c>
      <c r="AE59" s="82"/>
    </row>
    <row r="60" customHeight="1" spans="1:31">
      <c r="A60" s="47">
        <v>56</v>
      </c>
      <c r="B60" s="50"/>
      <c r="C60" s="53"/>
      <c r="D60" s="53"/>
      <c r="E60" s="54" t="s">
        <v>161</v>
      </c>
      <c r="F60" s="43" t="str">
        <f>F58</f>
        <v>Ⅵ</v>
      </c>
      <c r="G60" s="46" t="s">
        <v>148</v>
      </c>
      <c r="H60" s="46"/>
      <c r="I60" s="63">
        <f t="shared" si="42"/>
        <v>1572.48</v>
      </c>
      <c r="J60" s="64"/>
      <c r="K60" s="64">
        <f t="shared" si="40"/>
        <v>0</v>
      </c>
      <c r="L60" s="43" t="s">
        <v>133</v>
      </c>
      <c r="M60" s="65" t="str">
        <f>VLOOKUP(L60,{"甲级","1.2";"乙级","1.0";"丙级","0.8"},2,0)</f>
        <v>1.2</v>
      </c>
      <c r="N60" s="64">
        <f t="shared" si="43"/>
        <v>0</v>
      </c>
      <c r="O60" s="64">
        <f t="shared" si="44"/>
        <v>0</v>
      </c>
      <c r="P60" s="69" t="s">
        <v>149</v>
      </c>
      <c r="Q60" s="76"/>
      <c r="R60" s="77">
        <f t="shared" si="36"/>
        <v>0</v>
      </c>
      <c r="S60" s="72">
        <f t="shared" si="16"/>
        <v>0</v>
      </c>
      <c r="T60" s="72">
        <f t="shared" si="17"/>
        <v>1572.48</v>
      </c>
      <c r="U60" s="72">
        <f t="shared" si="18"/>
        <v>0</v>
      </c>
      <c r="V60" s="72" t="str">
        <f t="shared" si="19"/>
        <v>1.2</v>
      </c>
      <c r="W60" s="73">
        <f t="shared" si="20"/>
        <v>0</v>
      </c>
      <c r="X60" s="72"/>
      <c r="Y60" s="82"/>
      <c r="Z60" s="82">
        <f t="shared" si="21"/>
        <v>0</v>
      </c>
      <c r="AA60" s="82">
        <f t="shared" si="22"/>
        <v>1572.48</v>
      </c>
      <c r="AB60" s="82">
        <f t="shared" si="23"/>
        <v>0</v>
      </c>
      <c r="AC60" s="82" t="str">
        <f t="shared" si="24"/>
        <v>1.2</v>
      </c>
      <c r="AD60" s="83">
        <f t="shared" si="25"/>
        <v>0</v>
      </c>
      <c r="AE60" s="82"/>
    </row>
    <row r="61" customHeight="1" spans="1:31">
      <c r="A61" s="43">
        <v>57</v>
      </c>
      <c r="B61" s="50"/>
      <c r="C61" s="53"/>
      <c r="D61" s="53"/>
      <c r="E61" s="54" t="s">
        <v>162</v>
      </c>
      <c r="F61" s="43" t="str">
        <f>F58</f>
        <v>Ⅵ</v>
      </c>
      <c r="G61" s="46" t="s">
        <v>148</v>
      </c>
      <c r="H61" s="46"/>
      <c r="I61" s="63">
        <f t="shared" si="42"/>
        <v>1886.976</v>
      </c>
      <c r="J61" s="64"/>
      <c r="K61" s="64">
        <f t="shared" si="40"/>
        <v>0</v>
      </c>
      <c r="L61" s="43" t="s">
        <v>133</v>
      </c>
      <c r="M61" s="65" t="str">
        <f>VLOOKUP(L61,{"甲级","1.2";"乙级","1.0";"丙级","0.8"},2,0)</f>
        <v>1.2</v>
      </c>
      <c r="N61" s="64">
        <f t="shared" si="43"/>
        <v>0</v>
      </c>
      <c r="O61" s="64">
        <f t="shared" si="44"/>
        <v>0</v>
      </c>
      <c r="P61" s="69" t="s">
        <v>149</v>
      </c>
      <c r="Q61" s="76"/>
      <c r="R61" s="77">
        <f t="shared" si="36"/>
        <v>0</v>
      </c>
      <c r="S61" s="72">
        <f t="shared" si="16"/>
        <v>0</v>
      </c>
      <c r="T61" s="72">
        <f t="shared" si="17"/>
        <v>1886.976</v>
      </c>
      <c r="U61" s="72">
        <f t="shared" si="18"/>
        <v>0</v>
      </c>
      <c r="V61" s="72" t="str">
        <f t="shared" si="19"/>
        <v>1.2</v>
      </c>
      <c r="W61" s="73">
        <f t="shared" si="20"/>
        <v>0</v>
      </c>
      <c r="X61" s="72"/>
      <c r="Y61" s="82"/>
      <c r="Z61" s="82">
        <f t="shared" si="21"/>
        <v>0</v>
      </c>
      <c r="AA61" s="82">
        <f t="shared" si="22"/>
        <v>1886.976</v>
      </c>
      <c r="AB61" s="82">
        <f t="shared" si="23"/>
        <v>0</v>
      </c>
      <c r="AC61" s="82" t="str">
        <f t="shared" si="24"/>
        <v>1.2</v>
      </c>
      <c r="AD61" s="83">
        <f t="shared" si="25"/>
        <v>0</v>
      </c>
      <c r="AE61" s="82"/>
    </row>
    <row r="62" customHeight="1" spans="1:31">
      <c r="A62" s="47">
        <v>58</v>
      </c>
      <c r="B62" s="50"/>
      <c r="C62" s="53"/>
      <c r="D62" s="53"/>
      <c r="E62" s="54" t="s">
        <v>163</v>
      </c>
      <c r="F62" s="43" t="str">
        <f>F58</f>
        <v>Ⅵ</v>
      </c>
      <c r="G62" s="46" t="s">
        <v>148</v>
      </c>
      <c r="H62" s="46"/>
      <c r="I62" s="63">
        <f t="shared" si="42"/>
        <v>2264.3712</v>
      </c>
      <c r="J62" s="64"/>
      <c r="K62" s="64">
        <f t="shared" si="40"/>
        <v>0</v>
      </c>
      <c r="L62" s="43" t="s">
        <v>133</v>
      </c>
      <c r="M62" s="65" t="str">
        <f>VLOOKUP(L62,{"甲级","1.2";"乙级","1.0";"丙级","0.8"},2,0)</f>
        <v>1.2</v>
      </c>
      <c r="N62" s="64">
        <f t="shared" si="43"/>
        <v>0</v>
      </c>
      <c r="O62" s="64">
        <f t="shared" si="44"/>
        <v>0</v>
      </c>
      <c r="P62" s="69" t="s">
        <v>149</v>
      </c>
      <c r="Q62" s="76"/>
      <c r="R62" s="77">
        <f t="shared" si="36"/>
        <v>0</v>
      </c>
      <c r="S62" s="72">
        <f t="shared" si="16"/>
        <v>0</v>
      </c>
      <c r="T62" s="72">
        <f t="shared" si="17"/>
        <v>2264.3712</v>
      </c>
      <c r="U62" s="72">
        <f t="shared" si="18"/>
        <v>0</v>
      </c>
      <c r="V62" s="72" t="str">
        <f t="shared" si="19"/>
        <v>1.2</v>
      </c>
      <c r="W62" s="73">
        <f t="shared" si="20"/>
        <v>0</v>
      </c>
      <c r="X62" s="72"/>
      <c r="Y62" s="82"/>
      <c r="Z62" s="82">
        <f t="shared" si="21"/>
        <v>0</v>
      </c>
      <c r="AA62" s="82">
        <f t="shared" si="22"/>
        <v>2264.3712</v>
      </c>
      <c r="AB62" s="82">
        <f t="shared" si="23"/>
        <v>0</v>
      </c>
      <c r="AC62" s="82" t="str">
        <f t="shared" si="24"/>
        <v>1.2</v>
      </c>
      <c r="AD62" s="83">
        <f t="shared" si="25"/>
        <v>0</v>
      </c>
      <c r="AE62" s="82"/>
    </row>
    <row r="63" customHeight="1" spans="1:31">
      <c r="A63" s="43">
        <v>59</v>
      </c>
      <c r="B63" s="50"/>
      <c r="C63" s="53"/>
      <c r="D63" s="53"/>
      <c r="E63" s="54" t="s">
        <v>164</v>
      </c>
      <c r="F63" s="43" t="str">
        <f>F58</f>
        <v>Ⅵ</v>
      </c>
      <c r="G63" s="46" t="s">
        <v>148</v>
      </c>
      <c r="H63" s="46"/>
      <c r="I63" s="63">
        <f t="shared" si="42"/>
        <v>2717.24544</v>
      </c>
      <c r="J63" s="64"/>
      <c r="K63" s="64">
        <f t="shared" si="40"/>
        <v>0</v>
      </c>
      <c r="L63" s="43" t="s">
        <v>133</v>
      </c>
      <c r="M63" s="65" t="str">
        <f>VLOOKUP(L63,{"甲级","1.2";"乙级","1.0";"丙级","0.8"},2,0)</f>
        <v>1.2</v>
      </c>
      <c r="N63" s="64">
        <f t="shared" si="43"/>
        <v>0</v>
      </c>
      <c r="O63" s="64">
        <f t="shared" si="44"/>
        <v>0</v>
      </c>
      <c r="P63" s="69" t="s">
        <v>149</v>
      </c>
      <c r="Q63" s="76"/>
      <c r="R63" s="77">
        <f t="shared" si="36"/>
        <v>0</v>
      </c>
      <c r="S63" s="72">
        <f t="shared" si="16"/>
        <v>0</v>
      </c>
      <c r="T63" s="72">
        <f t="shared" si="17"/>
        <v>2717.24544</v>
      </c>
      <c r="U63" s="72">
        <f t="shared" si="18"/>
        <v>0</v>
      </c>
      <c r="V63" s="72" t="str">
        <f t="shared" si="19"/>
        <v>1.2</v>
      </c>
      <c r="W63" s="73">
        <f t="shared" si="20"/>
        <v>0</v>
      </c>
      <c r="X63" s="72"/>
      <c r="Y63" s="82"/>
      <c r="Z63" s="82">
        <f t="shared" si="21"/>
        <v>0</v>
      </c>
      <c r="AA63" s="82">
        <f t="shared" si="22"/>
        <v>2717.24544</v>
      </c>
      <c r="AB63" s="82">
        <f t="shared" si="23"/>
        <v>0</v>
      </c>
      <c r="AC63" s="82" t="str">
        <f t="shared" si="24"/>
        <v>1.2</v>
      </c>
      <c r="AD63" s="83">
        <f t="shared" si="25"/>
        <v>0</v>
      </c>
      <c r="AE63" s="82"/>
    </row>
    <row r="64" customHeight="1" spans="1:31">
      <c r="A64" s="47">
        <v>60</v>
      </c>
      <c r="B64" s="50"/>
      <c r="C64" s="53" t="s">
        <v>178</v>
      </c>
      <c r="D64" s="53"/>
      <c r="E64" s="54" t="s">
        <v>179</v>
      </c>
      <c r="F64" s="43" t="s">
        <v>180</v>
      </c>
      <c r="G64" s="46" t="s">
        <v>148</v>
      </c>
      <c r="H64" s="46"/>
      <c r="I64" s="63" t="str">
        <f>VLOOKUP(F64,{"Ⅰ","50";"Ⅱ","63";"Ⅲ","78";"Ⅳ","125";"Ⅴ","200";"Ⅵ","250"},2,0)</f>
        <v>63</v>
      </c>
      <c r="J64" s="64"/>
      <c r="K64" s="64">
        <f t="shared" si="40"/>
        <v>0</v>
      </c>
      <c r="L64" s="43" t="s">
        <v>133</v>
      </c>
      <c r="M64" s="65" t="str">
        <f>VLOOKUP(L64,{"甲级","1.2";"乙级","1.0";"丙级","0.8"},2,0)</f>
        <v>1.2</v>
      </c>
      <c r="N64" s="64">
        <f t="shared" si="43"/>
        <v>0</v>
      </c>
      <c r="O64" s="64">
        <f t="shared" si="44"/>
        <v>0</v>
      </c>
      <c r="P64" s="69" t="s">
        <v>149</v>
      </c>
      <c r="Q64" s="76"/>
      <c r="R64" s="77">
        <f t="shared" si="36"/>
        <v>0</v>
      </c>
      <c r="S64" s="72">
        <f t="shared" si="16"/>
        <v>0</v>
      </c>
      <c r="T64" s="72" t="str">
        <f t="shared" si="17"/>
        <v>63</v>
      </c>
      <c r="U64" s="72">
        <f t="shared" si="18"/>
        <v>0</v>
      </c>
      <c r="V64" s="72" t="str">
        <f t="shared" si="19"/>
        <v>1.2</v>
      </c>
      <c r="W64" s="73">
        <f t="shared" si="20"/>
        <v>0</v>
      </c>
      <c r="X64" s="72"/>
      <c r="Y64" s="82"/>
      <c r="Z64" s="82">
        <f t="shared" si="21"/>
        <v>0</v>
      </c>
      <c r="AA64" s="82" t="str">
        <f t="shared" si="22"/>
        <v>63</v>
      </c>
      <c r="AB64" s="82">
        <f t="shared" si="23"/>
        <v>0</v>
      </c>
      <c r="AC64" s="82" t="str">
        <f t="shared" si="24"/>
        <v>1.2</v>
      </c>
      <c r="AD64" s="83">
        <f t="shared" si="25"/>
        <v>0</v>
      </c>
      <c r="AE64" s="82"/>
    </row>
    <row r="65" customHeight="1" spans="1:31">
      <c r="A65" s="43">
        <v>61</v>
      </c>
      <c r="B65" s="50"/>
      <c r="C65" s="53"/>
      <c r="D65" s="53"/>
      <c r="E65" s="54" t="s">
        <v>181</v>
      </c>
      <c r="F65" s="43" t="s">
        <v>147</v>
      </c>
      <c r="G65" s="46" t="s">
        <v>148</v>
      </c>
      <c r="H65" s="46"/>
      <c r="I65" s="63" t="str">
        <f>VLOOKUP(F65,{"Ⅰ","63";"Ⅱ","78";"Ⅲ","97";"Ⅳ","156";"Ⅴ","250";"Ⅵ","313"},2,0)</f>
        <v>97</v>
      </c>
      <c r="J65" s="64"/>
      <c r="K65" s="64">
        <f t="shared" si="40"/>
        <v>0</v>
      </c>
      <c r="L65" s="43" t="s">
        <v>133</v>
      </c>
      <c r="M65" s="65" t="str">
        <f>VLOOKUP(L65,{"甲级","1.2";"乙级","1.0";"丙级","0.8"},2,0)</f>
        <v>1.2</v>
      </c>
      <c r="N65" s="64">
        <f t="shared" si="43"/>
        <v>0</v>
      </c>
      <c r="O65" s="64">
        <f t="shared" si="44"/>
        <v>0</v>
      </c>
      <c r="P65" s="69" t="s">
        <v>149</v>
      </c>
      <c r="Q65" s="76"/>
      <c r="R65" s="77">
        <f t="shared" si="36"/>
        <v>0</v>
      </c>
      <c r="S65" s="72">
        <f t="shared" si="16"/>
        <v>0</v>
      </c>
      <c r="T65" s="72" t="str">
        <f t="shared" si="17"/>
        <v>97</v>
      </c>
      <c r="U65" s="72">
        <f t="shared" si="18"/>
        <v>0</v>
      </c>
      <c r="V65" s="72" t="str">
        <f t="shared" si="19"/>
        <v>1.2</v>
      </c>
      <c r="W65" s="73">
        <f t="shared" si="20"/>
        <v>0</v>
      </c>
      <c r="X65" s="72"/>
      <c r="Y65" s="82"/>
      <c r="Z65" s="82">
        <f t="shared" si="21"/>
        <v>0</v>
      </c>
      <c r="AA65" s="82" t="str">
        <f t="shared" si="22"/>
        <v>97</v>
      </c>
      <c r="AB65" s="82">
        <f t="shared" si="23"/>
        <v>0</v>
      </c>
      <c r="AC65" s="82" t="str">
        <f t="shared" si="24"/>
        <v>1.2</v>
      </c>
      <c r="AD65" s="83">
        <f t="shared" si="25"/>
        <v>0</v>
      </c>
      <c r="AE65" s="82"/>
    </row>
    <row r="66" customHeight="1" spans="1:31">
      <c r="A66" s="47">
        <v>62</v>
      </c>
      <c r="B66" s="50"/>
      <c r="C66" s="53"/>
      <c r="D66" s="53"/>
      <c r="E66" s="54" t="s">
        <v>182</v>
      </c>
      <c r="F66" s="43" t="s">
        <v>177</v>
      </c>
      <c r="G66" s="46" t="s">
        <v>148</v>
      </c>
      <c r="H66" s="46"/>
      <c r="I66" s="63" t="str">
        <f>VLOOKUP(F66,{"Ⅰ","78";"Ⅱ","97";"Ⅲ","120";"Ⅳ","194";"Ⅴ","310";"Ⅵ","388"},2,0)</f>
        <v>78</v>
      </c>
      <c r="J66" s="64"/>
      <c r="K66" s="64">
        <f t="shared" si="40"/>
        <v>0</v>
      </c>
      <c r="L66" s="43" t="s">
        <v>133</v>
      </c>
      <c r="M66" s="65" t="str">
        <f>VLOOKUP(L66,{"甲级","1.2";"乙级","1.0";"丙级","0.8"},2,0)</f>
        <v>1.2</v>
      </c>
      <c r="N66" s="64">
        <f t="shared" si="43"/>
        <v>0</v>
      </c>
      <c r="O66" s="64">
        <f t="shared" si="44"/>
        <v>0</v>
      </c>
      <c r="P66" s="69" t="s">
        <v>149</v>
      </c>
      <c r="Q66" s="76"/>
      <c r="R66" s="77">
        <f t="shared" si="36"/>
        <v>0</v>
      </c>
      <c r="S66" s="72">
        <f t="shared" si="16"/>
        <v>0</v>
      </c>
      <c r="T66" s="72" t="str">
        <f t="shared" si="17"/>
        <v>78</v>
      </c>
      <c r="U66" s="72">
        <f t="shared" si="18"/>
        <v>0</v>
      </c>
      <c r="V66" s="72" t="str">
        <f t="shared" si="19"/>
        <v>1.2</v>
      </c>
      <c r="W66" s="73">
        <f t="shared" si="20"/>
        <v>0</v>
      </c>
      <c r="X66" s="72"/>
      <c r="Y66" s="82"/>
      <c r="Z66" s="82">
        <f t="shared" si="21"/>
        <v>0</v>
      </c>
      <c r="AA66" s="82" t="str">
        <f t="shared" si="22"/>
        <v>78</v>
      </c>
      <c r="AB66" s="82">
        <f t="shared" si="23"/>
        <v>0</v>
      </c>
      <c r="AC66" s="82" t="str">
        <f t="shared" si="24"/>
        <v>1.2</v>
      </c>
      <c r="AD66" s="83">
        <f t="shared" si="25"/>
        <v>0</v>
      </c>
      <c r="AE66" s="82"/>
    </row>
    <row r="67" customHeight="1" spans="1:31">
      <c r="A67" s="43">
        <v>63</v>
      </c>
      <c r="B67" s="50"/>
      <c r="C67" s="53"/>
      <c r="D67" s="53"/>
      <c r="E67" s="54" t="s">
        <v>151</v>
      </c>
      <c r="F67" s="43" t="s">
        <v>177</v>
      </c>
      <c r="G67" s="46" t="s">
        <v>148</v>
      </c>
      <c r="H67" s="46"/>
      <c r="I67" s="63" t="str">
        <f>VLOOKUP(F67,{"Ⅰ","103";"Ⅱ","128";"Ⅲ","159";"Ⅳ","256";"Ⅴ","410";"Ⅵ","513"},2,0)</f>
        <v>103</v>
      </c>
      <c r="J67" s="64"/>
      <c r="K67" s="64">
        <f t="shared" si="40"/>
        <v>0</v>
      </c>
      <c r="L67" s="43" t="s">
        <v>133</v>
      </c>
      <c r="M67" s="65" t="str">
        <f>VLOOKUP(L67,{"甲级","1.2";"乙级","1.0";"丙级","0.8"},2,0)</f>
        <v>1.2</v>
      </c>
      <c r="N67" s="64">
        <f t="shared" si="43"/>
        <v>0</v>
      </c>
      <c r="O67" s="64">
        <f t="shared" si="44"/>
        <v>0</v>
      </c>
      <c r="P67" s="69" t="s">
        <v>149</v>
      </c>
      <c r="Q67" s="76"/>
      <c r="R67" s="77">
        <f t="shared" si="36"/>
        <v>0</v>
      </c>
      <c r="S67" s="72">
        <f t="shared" si="16"/>
        <v>0</v>
      </c>
      <c r="T67" s="72" t="str">
        <f t="shared" si="17"/>
        <v>103</v>
      </c>
      <c r="U67" s="72">
        <f t="shared" si="18"/>
        <v>0</v>
      </c>
      <c r="V67" s="72" t="str">
        <f t="shared" si="19"/>
        <v>1.2</v>
      </c>
      <c r="W67" s="73">
        <f t="shared" si="20"/>
        <v>0</v>
      </c>
      <c r="X67" s="72"/>
      <c r="Y67" s="82"/>
      <c r="Z67" s="82">
        <f t="shared" si="21"/>
        <v>0</v>
      </c>
      <c r="AA67" s="82" t="str">
        <f t="shared" si="22"/>
        <v>103</v>
      </c>
      <c r="AB67" s="82">
        <f t="shared" si="23"/>
        <v>0</v>
      </c>
      <c r="AC67" s="82" t="str">
        <f t="shared" si="24"/>
        <v>1.2</v>
      </c>
      <c r="AD67" s="83">
        <f t="shared" si="25"/>
        <v>0</v>
      </c>
      <c r="AE67" s="82"/>
    </row>
    <row r="68" customHeight="1" spans="1:31">
      <c r="A68" s="47">
        <v>64</v>
      </c>
      <c r="B68" s="50"/>
      <c r="C68" s="53" t="s">
        <v>183</v>
      </c>
      <c r="D68" s="53"/>
      <c r="E68" s="54" t="s">
        <v>184</v>
      </c>
      <c r="F68" s="43" t="s">
        <v>177</v>
      </c>
      <c r="G68" s="46" t="s">
        <v>185</v>
      </c>
      <c r="H68" s="46"/>
      <c r="I68" s="63" t="str">
        <f>VLOOKUP(F68,{"Ⅰ","40";"Ⅱ","52";"Ⅲ","72";"Ⅳ","92";"Ⅴ","120";"Ⅵ","148"},2,0)</f>
        <v>40</v>
      </c>
      <c r="J68" s="64"/>
      <c r="K68" s="64">
        <f t="shared" si="40"/>
        <v>0</v>
      </c>
      <c r="L68" s="43" t="s">
        <v>133</v>
      </c>
      <c r="M68" s="65" t="str">
        <f>VLOOKUP(L68,{"甲级","1.2";"乙级","1.0";"丙级","0.8"},2,0)</f>
        <v>1.2</v>
      </c>
      <c r="N68" s="64">
        <f t="shared" si="43"/>
        <v>0</v>
      </c>
      <c r="O68" s="64">
        <f t="shared" si="44"/>
        <v>0</v>
      </c>
      <c r="P68" s="69" t="s">
        <v>149</v>
      </c>
      <c r="Q68" s="76"/>
      <c r="R68" s="77">
        <f t="shared" si="36"/>
        <v>0</v>
      </c>
      <c r="S68" s="72">
        <f t="shared" si="16"/>
        <v>0</v>
      </c>
      <c r="T68" s="72" t="str">
        <f t="shared" si="17"/>
        <v>40</v>
      </c>
      <c r="U68" s="72">
        <f t="shared" si="18"/>
        <v>0</v>
      </c>
      <c r="V68" s="72" t="str">
        <f t="shared" si="19"/>
        <v>1.2</v>
      </c>
      <c r="W68" s="73">
        <f t="shared" si="20"/>
        <v>0</v>
      </c>
      <c r="X68" s="72"/>
      <c r="Y68" s="82"/>
      <c r="Z68" s="82">
        <f t="shared" si="21"/>
        <v>0</v>
      </c>
      <c r="AA68" s="82" t="str">
        <f t="shared" si="22"/>
        <v>40</v>
      </c>
      <c r="AB68" s="82">
        <f t="shared" si="23"/>
        <v>0</v>
      </c>
      <c r="AC68" s="82" t="str">
        <f t="shared" si="24"/>
        <v>1.2</v>
      </c>
      <c r="AD68" s="83">
        <f t="shared" si="25"/>
        <v>0</v>
      </c>
      <c r="AE68" s="82"/>
    </row>
    <row r="69" customHeight="1" spans="1:31">
      <c r="A69" s="43">
        <v>65</v>
      </c>
      <c r="B69" s="86"/>
      <c r="C69" s="53"/>
      <c r="D69" s="53"/>
      <c r="E69" s="54" t="s">
        <v>186</v>
      </c>
      <c r="F69" s="43" t="s">
        <v>177</v>
      </c>
      <c r="G69" s="46" t="s">
        <v>185</v>
      </c>
      <c r="H69" s="46"/>
      <c r="I69" s="63" t="str">
        <f>VLOOKUP(F69,{"Ⅰ","58";"Ⅱ","75";"Ⅲ","104";"Ⅳ","133";"Ⅴ","174";"Ⅵ","215"},2,0)</f>
        <v>58</v>
      </c>
      <c r="J69" s="64"/>
      <c r="K69" s="64">
        <f t="shared" si="40"/>
        <v>0</v>
      </c>
      <c r="L69" s="43" t="s">
        <v>133</v>
      </c>
      <c r="M69" s="65" t="str">
        <f>VLOOKUP(L69,{"甲级","1.2";"乙级","1.0";"丙级","0.8"},2,0)</f>
        <v>1.2</v>
      </c>
      <c r="N69" s="64">
        <f t="shared" si="41"/>
        <v>0</v>
      </c>
      <c r="O69" s="64">
        <f t="shared" si="44"/>
        <v>0</v>
      </c>
      <c r="P69" s="69" t="s">
        <v>149</v>
      </c>
      <c r="Q69" s="76"/>
      <c r="R69" s="77">
        <f t="shared" si="36"/>
        <v>0</v>
      </c>
      <c r="S69" s="72">
        <f t="shared" si="16"/>
        <v>0</v>
      </c>
      <c r="T69" s="72" t="str">
        <f t="shared" si="17"/>
        <v>58</v>
      </c>
      <c r="U69" s="72">
        <f t="shared" si="18"/>
        <v>0</v>
      </c>
      <c r="V69" s="72" t="str">
        <f t="shared" si="19"/>
        <v>1.2</v>
      </c>
      <c r="W69" s="73">
        <f t="shared" si="20"/>
        <v>0</v>
      </c>
      <c r="X69" s="72"/>
      <c r="Y69" s="82"/>
      <c r="Z69" s="82">
        <f t="shared" si="21"/>
        <v>0</v>
      </c>
      <c r="AA69" s="82" t="str">
        <f t="shared" si="22"/>
        <v>58</v>
      </c>
      <c r="AB69" s="82">
        <f t="shared" si="23"/>
        <v>0</v>
      </c>
      <c r="AC69" s="82" t="str">
        <f t="shared" si="24"/>
        <v>1.2</v>
      </c>
      <c r="AD69" s="83">
        <f t="shared" si="25"/>
        <v>0</v>
      </c>
      <c r="AE69" s="82"/>
    </row>
    <row r="70" customHeight="1" spans="1:31">
      <c r="A70" s="47">
        <v>66</v>
      </c>
      <c r="B70" s="43" t="s">
        <v>187</v>
      </c>
      <c r="C70" s="43" t="s">
        <v>188</v>
      </c>
      <c r="D70" s="43"/>
      <c r="E70" s="43" t="s">
        <v>189</v>
      </c>
      <c r="F70" s="43" t="s">
        <v>190</v>
      </c>
      <c r="G70" s="46" t="s">
        <v>191</v>
      </c>
      <c r="H70" s="46"/>
      <c r="I70" s="63">
        <f>IF(F70="≤30m",65,95)</f>
        <v>65</v>
      </c>
      <c r="J70" s="64"/>
      <c r="K70" s="64">
        <f t="shared" si="40"/>
        <v>0</v>
      </c>
      <c r="L70" s="43" t="s">
        <v>133</v>
      </c>
      <c r="M70" s="65" t="str">
        <f>VLOOKUP(L70,{"甲级","1.2";"乙级","1.0";"丙级","0.8"},2,0)</f>
        <v>1.2</v>
      </c>
      <c r="N70" s="64">
        <f t="shared" si="41"/>
        <v>0</v>
      </c>
      <c r="O70" s="64">
        <f t="shared" si="44"/>
        <v>0</v>
      </c>
      <c r="P70" s="69" t="s">
        <v>192</v>
      </c>
      <c r="Q70" s="76"/>
      <c r="R70" s="77">
        <f t="shared" si="36"/>
        <v>0</v>
      </c>
      <c r="S70" s="72">
        <f t="shared" si="16"/>
        <v>0</v>
      </c>
      <c r="T70" s="72">
        <f t="shared" si="17"/>
        <v>65</v>
      </c>
      <c r="U70" s="72">
        <f t="shared" si="18"/>
        <v>0</v>
      </c>
      <c r="V70" s="72" t="str">
        <f t="shared" si="19"/>
        <v>1.2</v>
      </c>
      <c r="W70" s="73">
        <f t="shared" si="20"/>
        <v>0</v>
      </c>
      <c r="X70" s="72"/>
      <c r="Y70" s="82"/>
      <c r="Z70" s="82">
        <f t="shared" si="21"/>
        <v>0</v>
      </c>
      <c r="AA70" s="82">
        <f t="shared" si="22"/>
        <v>65</v>
      </c>
      <c r="AB70" s="82">
        <f t="shared" si="23"/>
        <v>0</v>
      </c>
      <c r="AC70" s="82" t="str">
        <f t="shared" si="24"/>
        <v>1.2</v>
      </c>
      <c r="AD70" s="83">
        <f t="shared" si="25"/>
        <v>0</v>
      </c>
      <c r="AE70" s="82"/>
    </row>
    <row r="71" customHeight="1" spans="1:31">
      <c r="A71" s="43">
        <v>67</v>
      </c>
      <c r="B71" s="43"/>
      <c r="C71" s="43"/>
      <c r="D71" s="43"/>
      <c r="E71" s="43" t="s">
        <v>193</v>
      </c>
      <c r="F71" s="43" t="s">
        <v>190</v>
      </c>
      <c r="G71" s="46" t="s">
        <v>191</v>
      </c>
      <c r="H71" s="46"/>
      <c r="I71" s="63">
        <f>IF(F71="≤30m",100,150)</f>
        <v>100</v>
      </c>
      <c r="J71" s="64"/>
      <c r="K71" s="64">
        <f t="shared" si="40"/>
        <v>0</v>
      </c>
      <c r="L71" s="43" t="s">
        <v>133</v>
      </c>
      <c r="M71" s="65" t="str">
        <f>VLOOKUP(L71,{"甲级","1.2";"乙级","1.0";"丙级","0.8"},2,0)</f>
        <v>1.2</v>
      </c>
      <c r="N71" s="64">
        <f t="shared" si="41"/>
        <v>0</v>
      </c>
      <c r="O71" s="64">
        <f t="shared" si="44"/>
        <v>0</v>
      </c>
      <c r="P71" s="69" t="s">
        <v>192</v>
      </c>
      <c r="Q71" s="76"/>
      <c r="R71" s="77">
        <f t="shared" si="36"/>
        <v>0</v>
      </c>
      <c r="S71" s="72">
        <f t="shared" si="16"/>
        <v>0</v>
      </c>
      <c r="T71" s="72">
        <f t="shared" si="17"/>
        <v>100</v>
      </c>
      <c r="U71" s="72">
        <f t="shared" si="18"/>
        <v>0</v>
      </c>
      <c r="V71" s="72" t="str">
        <f t="shared" si="19"/>
        <v>1.2</v>
      </c>
      <c r="W71" s="73">
        <f t="shared" si="20"/>
        <v>0</v>
      </c>
      <c r="X71" s="72"/>
      <c r="Y71" s="82"/>
      <c r="Z71" s="82">
        <f t="shared" si="21"/>
        <v>0</v>
      </c>
      <c r="AA71" s="82">
        <f t="shared" si="22"/>
        <v>100</v>
      </c>
      <c r="AB71" s="82">
        <f t="shared" si="23"/>
        <v>0</v>
      </c>
      <c r="AC71" s="82" t="str">
        <f t="shared" si="24"/>
        <v>1.2</v>
      </c>
      <c r="AD71" s="83">
        <f t="shared" si="25"/>
        <v>0</v>
      </c>
      <c r="AE71" s="82"/>
    </row>
    <row r="72" customHeight="1" spans="1:31">
      <c r="A72" s="47">
        <v>68</v>
      </c>
      <c r="B72" s="43"/>
      <c r="C72" s="43"/>
      <c r="D72" s="43"/>
      <c r="E72" s="43" t="s">
        <v>194</v>
      </c>
      <c r="F72" s="43"/>
      <c r="G72" s="46" t="s">
        <v>191</v>
      </c>
      <c r="H72" s="46"/>
      <c r="I72" s="63">
        <v>15</v>
      </c>
      <c r="J72" s="64"/>
      <c r="K72" s="64">
        <f t="shared" si="40"/>
        <v>0</v>
      </c>
      <c r="L72" s="43" t="s">
        <v>133</v>
      </c>
      <c r="M72" s="65" t="str">
        <f>VLOOKUP(L72,{"甲级","1.2";"乙级","1.0";"丙级","0.8"},2,0)</f>
        <v>1.2</v>
      </c>
      <c r="N72" s="64">
        <f t="shared" si="41"/>
        <v>0</v>
      </c>
      <c r="O72" s="64">
        <f t="shared" si="44"/>
        <v>0</v>
      </c>
      <c r="P72" s="69" t="s">
        <v>192</v>
      </c>
      <c r="Q72" s="76"/>
      <c r="R72" s="77">
        <f t="shared" si="36"/>
        <v>0</v>
      </c>
      <c r="S72" s="72">
        <f t="shared" si="16"/>
        <v>0</v>
      </c>
      <c r="T72" s="72">
        <f t="shared" si="17"/>
        <v>15</v>
      </c>
      <c r="U72" s="72">
        <f t="shared" si="18"/>
        <v>0</v>
      </c>
      <c r="V72" s="72" t="str">
        <f t="shared" si="19"/>
        <v>1.2</v>
      </c>
      <c r="W72" s="73">
        <f t="shared" si="20"/>
        <v>0</v>
      </c>
      <c r="X72" s="72"/>
      <c r="Y72" s="82"/>
      <c r="Z72" s="82">
        <f t="shared" si="21"/>
        <v>0</v>
      </c>
      <c r="AA72" s="82">
        <f t="shared" si="22"/>
        <v>15</v>
      </c>
      <c r="AB72" s="82">
        <f t="shared" si="23"/>
        <v>0</v>
      </c>
      <c r="AC72" s="82" t="str">
        <f t="shared" si="24"/>
        <v>1.2</v>
      </c>
      <c r="AD72" s="83">
        <f t="shared" si="25"/>
        <v>0</v>
      </c>
      <c r="AE72" s="82"/>
    </row>
    <row r="73" customHeight="1" spans="1:31">
      <c r="A73" s="43">
        <v>69</v>
      </c>
      <c r="B73" s="43"/>
      <c r="C73" s="43"/>
      <c r="D73" s="43"/>
      <c r="E73" s="43" t="s">
        <v>195</v>
      </c>
      <c r="F73" s="43"/>
      <c r="G73" s="46" t="s">
        <v>191</v>
      </c>
      <c r="H73" s="46"/>
      <c r="I73" s="63">
        <v>25</v>
      </c>
      <c r="J73" s="64"/>
      <c r="K73" s="64">
        <f t="shared" si="40"/>
        <v>0</v>
      </c>
      <c r="L73" s="43" t="s">
        <v>133</v>
      </c>
      <c r="M73" s="65" t="str">
        <f>VLOOKUP(L73,{"甲级","1.2";"乙级","1.0";"丙级","0.8"},2,0)</f>
        <v>1.2</v>
      </c>
      <c r="N73" s="64">
        <f t="shared" si="41"/>
        <v>0</v>
      </c>
      <c r="O73" s="64">
        <f t="shared" si="44"/>
        <v>0</v>
      </c>
      <c r="P73" s="69" t="s">
        <v>192</v>
      </c>
      <c r="Q73" s="76"/>
      <c r="R73" s="77">
        <f t="shared" si="36"/>
        <v>0</v>
      </c>
      <c r="S73" s="72">
        <f t="shared" si="16"/>
        <v>0</v>
      </c>
      <c r="T73" s="72">
        <f t="shared" si="17"/>
        <v>25</v>
      </c>
      <c r="U73" s="72">
        <f t="shared" si="18"/>
        <v>0</v>
      </c>
      <c r="V73" s="72" t="str">
        <f t="shared" si="19"/>
        <v>1.2</v>
      </c>
      <c r="W73" s="73">
        <f t="shared" si="20"/>
        <v>0</v>
      </c>
      <c r="X73" s="72"/>
      <c r="Y73" s="82"/>
      <c r="Z73" s="82">
        <f t="shared" si="21"/>
        <v>0</v>
      </c>
      <c r="AA73" s="82">
        <f t="shared" si="22"/>
        <v>25</v>
      </c>
      <c r="AB73" s="82">
        <f t="shared" si="23"/>
        <v>0</v>
      </c>
      <c r="AC73" s="82" t="str">
        <f t="shared" si="24"/>
        <v>1.2</v>
      </c>
      <c r="AD73" s="83">
        <f t="shared" si="25"/>
        <v>0</v>
      </c>
      <c r="AE73" s="82"/>
    </row>
    <row r="74" customHeight="1" spans="1:31">
      <c r="A74" s="47">
        <v>70</v>
      </c>
      <c r="B74" s="43"/>
      <c r="C74" s="43"/>
      <c r="D74" s="43"/>
      <c r="E74" s="43" t="s">
        <v>196</v>
      </c>
      <c r="F74" s="43"/>
      <c r="G74" s="46" t="s">
        <v>191</v>
      </c>
      <c r="H74" s="46"/>
      <c r="I74" s="63">
        <v>40</v>
      </c>
      <c r="J74" s="64"/>
      <c r="K74" s="64">
        <f t="shared" ref="K74:K80" si="45">I74*H74*J74</f>
        <v>0</v>
      </c>
      <c r="L74" s="43" t="s">
        <v>133</v>
      </c>
      <c r="M74" s="65" t="str">
        <f>VLOOKUP(L74,{"甲级","1.2";"乙级","1.0";"丙级","0.8"},2,0)</f>
        <v>1.2</v>
      </c>
      <c r="N74" s="64">
        <f t="shared" ref="N74:N80" si="46">K74*M74</f>
        <v>0</v>
      </c>
      <c r="O74" s="64">
        <f t="shared" ref="O74:O80" si="47">K74+N74</f>
        <v>0</v>
      </c>
      <c r="P74" s="69" t="s">
        <v>192</v>
      </c>
      <c r="Q74" s="76"/>
      <c r="R74" s="77">
        <f t="shared" si="36"/>
        <v>0</v>
      </c>
      <c r="S74" s="72">
        <f t="shared" si="16"/>
        <v>0</v>
      </c>
      <c r="T74" s="72">
        <f t="shared" si="17"/>
        <v>40</v>
      </c>
      <c r="U74" s="72">
        <f t="shared" si="18"/>
        <v>0</v>
      </c>
      <c r="V74" s="72" t="str">
        <f t="shared" si="19"/>
        <v>1.2</v>
      </c>
      <c r="W74" s="73">
        <f t="shared" si="20"/>
        <v>0</v>
      </c>
      <c r="X74" s="72"/>
      <c r="Y74" s="82"/>
      <c r="Z74" s="82">
        <f t="shared" si="21"/>
        <v>0</v>
      </c>
      <c r="AA74" s="82">
        <f t="shared" si="22"/>
        <v>40</v>
      </c>
      <c r="AB74" s="82">
        <f t="shared" si="23"/>
        <v>0</v>
      </c>
      <c r="AC74" s="82" t="str">
        <f t="shared" si="24"/>
        <v>1.2</v>
      </c>
      <c r="AD74" s="83">
        <f t="shared" si="25"/>
        <v>0</v>
      </c>
      <c r="AE74" s="82"/>
    </row>
    <row r="75" customHeight="1" spans="1:31">
      <c r="A75" s="43">
        <v>71</v>
      </c>
      <c r="B75" s="43" t="s">
        <v>197</v>
      </c>
      <c r="C75" s="43" t="s">
        <v>198</v>
      </c>
      <c r="D75" s="43"/>
      <c r="E75" s="54" t="s">
        <v>199</v>
      </c>
      <c r="F75" s="43" t="s">
        <v>147</v>
      </c>
      <c r="G75" s="46" t="s">
        <v>200</v>
      </c>
      <c r="H75" s="46"/>
      <c r="I75" s="63" t="str">
        <f>VLOOKUP(F75,{"Ⅰ","80";"Ⅱ","108";"Ⅲ","144"},2,0)</f>
        <v>144</v>
      </c>
      <c r="J75" s="64"/>
      <c r="K75" s="64">
        <f t="shared" si="45"/>
        <v>0</v>
      </c>
      <c r="L75" s="43" t="s">
        <v>133</v>
      </c>
      <c r="M75" s="65" t="str">
        <f>VLOOKUP(L75,{"甲级","1.2";"乙级","1.0";"丙级","0.8"},2,0)</f>
        <v>1.2</v>
      </c>
      <c r="N75" s="64">
        <f t="shared" si="46"/>
        <v>0</v>
      </c>
      <c r="O75" s="64">
        <f t="shared" si="47"/>
        <v>0</v>
      </c>
      <c r="P75" s="69" t="s">
        <v>201</v>
      </c>
      <c r="Q75" s="76"/>
      <c r="R75" s="77">
        <f t="shared" si="36"/>
        <v>0</v>
      </c>
      <c r="S75" s="72">
        <f t="shared" si="16"/>
        <v>0</v>
      </c>
      <c r="T75" s="72" t="str">
        <f t="shared" si="17"/>
        <v>144</v>
      </c>
      <c r="U75" s="72">
        <f t="shared" si="18"/>
        <v>0</v>
      </c>
      <c r="V75" s="72" t="str">
        <f t="shared" si="19"/>
        <v>1.2</v>
      </c>
      <c r="W75" s="73">
        <f t="shared" si="20"/>
        <v>0</v>
      </c>
      <c r="X75" s="72"/>
      <c r="Y75" s="82"/>
      <c r="Z75" s="82">
        <f t="shared" si="21"/>
        <v>0</v>
      </c>
      <c r="AA75" s="82" t="str">
        <f t="shared" si="22"/>
        <v>144</v>
      </c>
      <c r="AB75" s="82">
        <f t="shared" si="23"/>
        <v>0</v>
      </c>
      <c r="AC75" s="82" t="str">
        <f t="shared" si="24"/>
        <v>1.2</v>
      </c>
      <c r="AD75" s="83">
        <f t="shared" si="25"/>
        <v>0</v>
      </c>
      <c r="AE75" s="82"/>
    </row>
    <row r="76" customHeight="1" spans="1:31">
      <c r="A76" s="47">
        <v>72</v>
      </c>
      <c r="B76" s="43"/>
      <c r="C76" s="43"/>
      <c r="D76" s="43"/>
      <c r="E76" s="54" t="s">
        <v>202</v>
      </c>
      <c r="F76" s="43" t="s">
        <v>147</v>
      </c>
      <c r="G76" s="46" t="s">
        <v>200</v>
      </c>
      <c r="H76" s="46"/>
      <c r="I76" s="63" t="str">
        <f>VLOOKUP(F76,{"Ⅰ","120";"Ⅱ","162";"Ⅲ","216"},2,0)</f>
        <v>216</v>
      </c>
      <c r="J76" s="64"/>
      <c r="K76" s="64">
        <f t="shared" si="45"/>
        <v>0</v>
      </c>
      <c r="L76" s="43" t="s">
        <v>133</v>
      </c>
      <c r="M76" s="65" t="str">
        <f>VLOOKUP(L76,{"甲级","1.2";"乙级","1.0";"丙级","0.8"},2,0)</f>
        <v>1.2</v>
      </c>
      <c r="N76" s="64">
        <f t="shared" si="46"/>
        <v>0</v>
      </c>
      <c r="O76" s="64">
        <f t="shared" si="47"/>
        <v>0</v>
      </c>
      <c r="P76" s="69" t="s">
        <v>201</v>
      </c>
      <c r="Q76" s="76"/>
      <c r="R76" s="77">
        <f t="shared" si="36"/>
        <v>0</v>
      </c>
      <c r="S76" s="72">
        <f t="shared" si="16"/>
        <v>0</v>
      </c>
      <c r="T76" s="72" t="str">
        <f t="shared" si="17"/>
        <v>216</v>
      </c>
      <c r="U76" s="72">
        <f t="shared" si="18"/>
        <v>0</v>
      </c>
      <c r="V76" s="72" t="str">
        <f t="shared" si="19"/>
        <v>1.2</v>
      </c>
      <c r="W76" s="73">
        <f t="shared" si="20"/>
        <v>0</v>
      </c>
      <c r="X76" s="72"/>
      <c r="Y76" s="82"/>
      <c r="Z76" s="82">
        <f t="shared" si="21"/>
        <v>0</v>
      </c>
      <c r="AA76" s="82" t="str">
        <f t="shared" si="22"/>
        <v>216</v>
      </c>
      <c r="AB76" s="82">
        <f t="shared" si="23"/>
        <v>0</v>
      </c>
      <c r="AC76" s="82" t="str">
        <f t="shared" si="24"/>
        <v>1.2</v>
      </c>
      <c r="AD76" s="83">
        <f t="shared" si="25"/>
        <v>0</v>
      </c>
      <c r="AE76" s="82"/>
    </row>
    <row r="77" customHeight="1" spans="1:31">
      <c r="A77" s="43">
        <v>73</v>
      </c>
      <c r="B77" s="43"/>
      <c r="C77" s="43"/>
      <c r="D77" s="43"/>
      <c r="E77" s="54" t="s">
        <v>203</v>
      </c>
      <c r="F77" s="43" t="s">
        <v>177</v>
      </c>
      <c r="G77" s="46" t="s">
        <v>200</v>
      </c>
      <c r="H77" s="46"/>
      <c r="I77" s="63" t="str">
        <f>VLOOKUP(F77,{"Ⅰ","144";"Ⅱ","194";"Ⅲ","259"},2,0)</f>
        <v>144</v>
      </c>
      <c r="J77" s="64"/>
      <c r="K77" s="64">
        <f t="shared" si="45"/>
        <v>0</v>
      </c>
      <c r="L77" s="43" t="s">
        <v>133</v>
      </c>
      <c r="M77" s="65" t="str">
        <f>VLOOKUP(L77,{"甲级","1.2";"乙级","1.0";"丙级","0.8"},2,0)</f>
        <v>1.2</v>
      </c>
      <c r="N77" s="64">
        <f t="shared" si="46"/>
        <v>0</v>
      </c>
      <c r="O77" s="64">
        <f t="shared" si="47"/>
        <v>0</v>
      </c>
      <c r="P77" s="69" t="s">
        <v>201</v>
      </c>
      <c r="Q77" s="76"/>
      <c r="R77" s="77">
        <f t="shared" si="36"/>
        <v>0</v>
      </c>
      <c r="S77" s="72">
        <f t="shared" si="16"/>
        <v>0</v>
      </c>
      <c r="T77" s="72" t="str">
        <f t="shared" si="17"/>
        <v>144</v>
      </c>
      <c r="U77" s="72">
        <f t="shared" si="18"/>
        <v>0</v>
      </c>
      <c r="V77" s="72" t="str">
        <f t="shared" si="19"/>
        <v>1.2</v>
      </c>
      <c r="W77" s="73">
        <f t="shared" si="20"/>
        <v>0</v>
      </c>
      <c r="X77" s="72"/>
      <c r="Y77" s="82"/>
      <c r="Z77" s="82">
        <f t="shared" si="21"/>
        <v>0</v>
      </c>
      <c r="AA77" s="82" t="str">
        <f t="shared" si="22"/>
        <v>144</v>
      </c>
      <c r="AB77" s="82">
        <f t="shared" si="23"/>
        <v>0</v>
      </c>
      <c r="AC77" s="82" t="str">
        <f t="shared" si="24"/>
        <v>1.2</v>
      </c>
      <c r="AD77" s="83">
        <f t="shared" si="25"/>
        <v>0</v>
      </c>
      <c r="AE77" s="82"/>
    </row>
    <row r="78" customHeight="1" spans="1:31">
      <c r="A78" s="47">
        <v>74</v>
      </c>
      <c r="B78" s="43"/>
      <c r="C78" s="43" t="s">
        <v>204</v>
      </c>
      <c r="D78" s="53" t="s">
        <v>205</v>
      </c>
      <c r="E78" s="54" t="s">
        <v>146</v>
      </c>
      <c r="F78" s="43" t="s">
        <v>153</v>
      </c>
      <c r="G78" s="46" t="s">
        <v>148</v>
      </c>
      <c r="H78" s="46"/>
      <c r="I78" s="63" t="str">
        <f>VLOOKUP(F78,{"Ⅰ","50";"Ⅱ","78";"Ⅲ","128";"Ⅳ","300";"Ⅴ","375";"Ⅵ","425"},2,0)</f>
        <v>375</v>
      </c>
      <c r="J78" s="64"/>
      <c r="K78" s="64">
        <f t="shared" si="45"/>
        <v>0</v>
      </c>
      <c r="L78" s="43" t="s">
        <v>133</v>
      </c>
      <c r="M78" s="65" t="str">
        <f>VLOOKUP(L78,{"甲级","1.2";"乙级","1.0";"丙级","0.8"},2,0)</f>
        <v>1.2</v>
      </c>
      <c r="N78" s="64">
        <f t="shared" si="46"/>
        <v>0</v>
      </c>
      <c r="O78" s="64">
        <f t="shared" si="47"/>
        <v>0</v>
      </c>
      <c r="P78" s="69" t="s">
        <v>201</v>
      </c>
      <c r="Q78" s="76"/>
      <c r="R78" s="77">
        <f t="shared" si="36"/>
        <v>0</v>
      </c>
      <c r="S78" s="72">
        <f t="shared" si="16"/>
        <v>0</v>
      </c>
      <c r="T78" s="72" t="str">
        <f t="shared" si="17"/>
        <v>375</v>
      </c>
      <c r="U78" s="72">
        <f t="shared" si="18"/>
        <v>0</v>
      </c>
      <c r="V78" s="72" t="str">
        <f t="shared" si="19"/>
        <v>1.2</v>
      </c>
      <c r="W78" s="73">
        <f t="shared" si="20"/>
        <v>0</v>
      </c>
      <c r="X78" s="72"/>
      <c r="Y78" s="82"/>
      <c r="Z78" s="82">
        <f t="shared" si="21"/>
        <v>0</v>
      </c>
      <c r="AA78" s="82" t="str">
        <f t="shared" si="22"/>
        <v>375</v>
      </c>
      <c r="AB78" s="82">
        <f t="shared" si="23"/>
        <v>0</v>
      </c>
      <c r="AC78" s="82" t="str">
        <f t="shared" si="24"/>
        <v>1.2</v>
      </c>
      <c r="AD78" s="83">
        <f t="shared" si="25"/>
        <v>0</v>
      </c>
      <c r="AE78" s="82"/>
    </row>
    <row r="79" customHeight="1" spans="1:31">
      <c r="A79" s="43">
        <v>75</v>
      </c>
      <c r="B79" s="43"/>
      <c r="C79" s="43"/>
      <c r="D79" s="53"/>
      <c r="E79" s="54" t="s">
        <v>146</v>
      </c>
      <c r="F79" s="43" t="s">
        <v>150</v>
      </c>
      <c r="G79" s="46" t="s">
        <v>148</v>
      </c>
      <c r="H79" s="46"/>
      <c r="I79" s="63" t="str">
        <f>VLOOKUP(F79,{"Ⅰ","50";"Ⅱ","78";"Ⅲ","128";"Ⅳ","300";"Ⅴ","375";"Ⅵ","425"},2,0)</f>
        <v>300</v>
      </c>
      <c r="J79" s="64"/>
      <c r="K79" s="64">
        <f t="shared" si="45"/>
        <v>0</v>
      </c>
      <c r="L79" s="43" t="s">
        <v>133</v>
      </c>
      <c r="M79" s="65" t="str">
        <f>VLOOKUP(L79,{"甲级","1.2";"乙级","1.0";"丙级","0.8"},2,0)</f>
        <v>1.2</v>
      </c>
      <c r="N79" s="64">
        <f t="shared" si="46"/>
        <v>0</v>
      </c>
      <c r="O79" s="64">
        <f t="shared" si="47"/>
        <v>0</v>
      </c>
      <c r="P79" s="69" t="s">
        <v>201</v>
      </c>
      <c r="Q79" s="76"/>
      <c r="R79" s="77">
        <f t="shared" si="36"/>
        <v>0</v>
      </c>
      <c r="S79" s="72">
        <f t="shared" ref="S79:S142" si="48">H79</f>
        <v>0</v>
      </c>
      <c r="T79" s="72" t="str">
        <f t="shared" ref="T79:T142" si="49">I79</f>
        <v>300</v>
      </c>
      <c r="U79" s="72">
        <f t="shared" ref="U79:U142" si="50">J79</f>
        <v>0</v>
      </c>
      <c r="V79" s="72" t="str">
        <f t="shared" ref="V79:V142" si="51">M79</f>
        <v>1.2</v>
      </c>
      <c r="W79" s="73">
        <f t="shared" ref="W79:W142" si="52">S79*U79*T79*(1+V79)</f>
        <v>0</v>
      </c>
      <c r="X79" s="72"/>
      <c r="Y79" s="82"/>
      <c r="Z79" s="82">
        <f t="shared" ref="Z79:Z142" si="53">H79</f>
        <v>0</v>
      </c>
      <c r="AA79" s="82" t="str">
        <f t="shared" ref="AA79:AA142" si="54">I79</f>
        <v>300</v>
      </c>
      <c r="AB79" s="82">
        <f t="shared" ref="AB79:AB142" si="55">J79</f>
        <v>0</v>
      </c>
      <c r="AC79" s="82" t="str">
        <f t="shared" ref="AC79:AC142" si="56">M79</f>
        <v>1.2</v>
      </c>
      <c r="AD79" s="83">
        <f t="shared" ref="AD79:AD142" si="57">Z79*AB79*AA79*(1+AC79)</f>
        <v>0</v>
      </c>
      <c r="AE79" s="82"/>
    </row>
    <row r="80" customHeight="1" spans="1:31">
      <c r="A80" s="47">
        <v>76</v>
      </c>
      <c r="B80" s="43"/>
      <c r="C80" s="43"/>
      <c r="D80" s="53"/>
      <c r="E80" s="54" t="s">
        <v>151</v>
      </c>
      <c r="F80" s="43" t="s">
        <v>150</v>
      </c>
      <c r="G80" s="46" t="s">
        <v>148</v>
      </c>
      <c r="H80" s="46"/>
      <c r="I80" s="63" t="str">
        <f>VLOOKUP(F80,{"Ⅰ","63";"Ⅱ","97";"Ⅲ","159";"Ⅳ","375";"Ⅴ","469";"Ⅵ","531"},2,0)</f>
        <v>375</v>
      </c>
      <c r="J80" s="64"/>
      <c r="K80" s="64">
        <f t="shared" si="45"/>
        <v>0</v>
      </c>
      <c r="L80" s="43" t="s">
        <v>133</v>
      </c>
      <c r="M80" s="65" t="str">
        <f>VLOOKUP(L80,{"甲级","1.2";"乙级","1.0";"丙级","0.8"},2,0)</f>
        <v>1.2</v>
      </c>
      <c r="N80" s="64">
        <f t="shared" si="46"/>
        <v>0</v>
      </c>
      <c r="O80" s="64">
        <f t="shared" si="47"/>
        <v>0</v>
      </c>
      <c r="P80" s="69" t="s">
        <v>201</v>
      </c>
      <c r="Q80" s="76"/>
      <c r="R80" s="77">
        <f t="shared" si="36"/>
        <v>0</v>
      </c>
      <c r="S80" s="72">
        <f t="shared" si="48"/>
        <v>0</v>
      </c>
      <c r="T80" s="72" t="str">
        <f t="shared" si="49"/>
        <v>375</v>
      </c>
      <c r="U80" s="72">
        <f t="shared" si="50"/>
        <v>0</v>
      </c>
      <c r="V80" s="72" t="str">
        <f t="shared" si="51"/>
        <v>1.2</v>
      </c>
      <c r="W80" s="73">
        <f t="shared" si="52"/>
        <v>0</v>
      </c>
      <c r="X80" s="72"/>
      <c r="Y80" s="82"/>
      <c r="Z80" s="82">
        <f t="shared" si="53"/>
        <v>0</v>
      </c>
      <c r="AA80" s="82" t="str">
        <f t="shared" si="54"/>
        <v>375</v>
      </c>
      <c r="AB80" s="82">
        <f t="shared" si="55"/>
        <v>0</v>
      </c>
      <c r="AC80" s="82" t="str">
        <f t="shared" si="56"/>
        <v>1.2</v>
      </c>
      <c r="AD80" s="83">
        <f t="shared" si="57"/>
        <v>0</v>
      </c>
      <c r="AE80" s="82"/>
    </row>
    <row r="81" customHeight="1" spans="1:31">
      <c r="A81" s="43">
        <v>77</v>
      </c>
      <c r="B81" s="43"/>
      <c r="C81" s="43"/>
      <c r="D81" s="53"/>
      <c r="E81" s="54" t="s">
        <v>151</v>
      </c>
      <c r="F81" s="43" t="s">
        <v>150</v>
      </c>
      <c r="G81" s="46" t="s">
        <v>148</v>
      </c>
      <c r="H81" s="46"/>
      <c r="I81" s="63" t="str">
        <f>VLOOKUP(F81,{"Ⅰ","63";"Ⅱ","97";"Ⅲ","159";"Ⅳ","375";"Ⅴ","469";"Ⅵ","531"},2,0)</f>
        <v>375</v>
      </c>
      <c r="J81" s="64"/>
      <c r="K81" s="64">
        <f t="shared" ref="K81:K100" si="58">I81*H81*J81</f>
        <v>0</v>
      </c>
      <c r="L81" s="43" t="s">
        <v>133</v>
      </c>
      <c r="M81" s="65" t="str">
        <f>VLOOKUP(L81,{"甲级","1.2";"乙级","1.0";"丙级","0.8"},2,0)</f>
        <v>1.2</v>
      </c>
      <c r="N81" s="64">
        <f t="shared" ref="N81:N100" si="59">K81*M81</f>
        <v>0</v>
      </c>
      <c r="O81" s="64">
        <f t="shared" ref="O81:O102" si="60">K81+N81</f>
        <v>0</v>
      </c>
      <c r="P81" s="69" t="s">
        <v>201</v>
      </c>
      <c r="Q81" s="76"/>
      <c r="R81" s="77">
        <f t="shared" si="36"/>
        <v>0</v>
      </c>
      <c r="S81" s="72">
        <f t="shared" si="48"/>
        <v>0</v>
      </c>
      <c r="T81" s="72" t="str">
        <f t="shared" si="49"/>
        <v>375</v>
      </c>
      <c r="U81" s="72">
        <f t="shared" si="50"/>
        <v>0</v>
      </c>
      <c r="V81" s="72" t="str">
        <f t="shared" si="51"/>
        <v>1.2</v>
      </c>
      <c r="W81" s="73">
        <f t="shared" si="52"/>
        <v>0</v>
      </c>
      <c r="X81" s="72"/>
      <c r="Y81" s="82"/>
      <c r="Z81" s="82">
        <f t="shared" si="53"/>
        <v>0</v>
      </c>
      <c r="AA81" s="82" t="str">
        <f t="shared" si="54"/>
        <v>375</v>
      </c>
      <c r="AB81" s="82">
        <f t="shared" si="55"/>
        <v>0</v>
      </c>
      <c r="AC81" s="82" t="str">
        <f t="shared" si="56"/>
        <v>1.2</v>
      </c>
      <c r="AD81" s="83">
        <f t="shared" si="57"/>
        <v>0</v>
      </c>
      <c r="AE81" s="82"/>
    </row>
    <row r="82" customHeight="1" spans="1:31">
      <c r="A82" s="47">
        <v>78</v>
      </c>
      <c r="B82" s="43"/>
      <c r="C82" s="43"/>
      <c r="D82" s="53"/>
      <c r="E82" s="54" t="s">
        <v>152</v>
      </c>
      <c r="F82" s="43" t="s">
        <v>177</v>
      </c>
      <c r="G82" s="46" t="s">
        <v>148</v>
      </c>
      <c r="H82" s="46"/>
      <c r="I82" s="63" t="str">
        <f>VLOOKUP(F82,{"Ⅰ","75";"Ⅱ","116";"Ⅲ","191";"Ⅳ","450";"Ⅴ","563";"Ⅵ","638"},2,0)</f>
        <v>75</v>
      </c>
      <c r="J82" s="64"/>
      <c r="K82" s="64">
        <f t="shared" si="58"/>
        <v>0</v>
      </c>
      <c r="L82" s="43" t="s">
        <v>133</v>
      </c>
      <c r="M82" s="65" t="str">
        <f>VLOOKUP(L82,{"甲级","1.2";"乙级","1.0";"丙级","0.8"},2,0)</f>
        <v>1.2</v>
      </c>
      <c r="N82" s="64">
        <f t="shared" si="59"/>
        <v>0</v>
      </c>
      <c r="O82" s="64">
        <f t="shared" si="60"/>
        <v>0</v>
      </c>
      <c r="P82" s="69" t="s">
        <v>201</v>
      </c>
      <c r="Q82" s="76"/>
      <c r="R82" s="77">
        <f t="shared" si="36"/>
        <v>0</v>
      </c>
      <c r="S82" s="72">
        <f t="shared" si="48"/>
        <v>0</v>
      </c>
      <c r="T82" s="72" t="str">
        <f t="shared" si="49"/>
        <v>75</v>
      </c>
      <c r="U82" s="72">
        <f t="shared" si="50"/>
        <v>0</v>
      </c>
      <c r="V82" s="72" t="str">
        <f t="shared" si="51"/>
        <v>1.2</v>
      </c>
      <c r="W82" s="73">
        <f t="shared" si="52"/>
        <v>0</v>
      </c>
      <c r="X82" s="72"/>
      <c r="Y82" s="82"/>
      <c r="Z82" s="82">
        <f t="shared" si="53"/>
        <v>0</v>
      </c>
      <c r="AA82" s="82" t="str">
        <f t="shared" si="54"/>
        <v>75</v>
      </c>
      <c r="AB82" s="82">
        <f t="shared" si="55"/>
        <v>0</v>
      </c>
      <c r="AC82" s="82" t="str">
        <f t="shared" si="56"/>
        <v>1.2</v>
      </c>
      <c r="AD82" s="83">
        <f t="shared" si="57"/>
        <v>0</v>
      </c>
      <c r="AE82" s="82"/>
    </row>
    <row r="83" customHeight="1" spans="1:31">
      <c r="A83" s="43">
        <v>79</v>
      </c>
      <c r="B83" s="43"/>
      <c r="C83" s="43"/>
      <c r="D83" s="53"/>
      <c r="E83" s="54" t="s">
        <v>154</v>
      </c>
      <c r="F83" s="43" t="s">
        <v>177</v>
      </c>
      <c r="G83" s="46" t="s">
        <v>148</v>
      </c>
      <c r="H83" s="46"/>
      <c r="I83" s="63" t="str">
        <f>VLOOKUP(F83,{"Ⅰ","89";"Ⅱ","138";"Ⅲ","227";"Ⅳ","534";"Ⅴ","668";"Ⅵ","757"},2,0)</f>
        <v>89</v>
      </c>
      <c r="J83" s="64"/>
      <c r="K83" s="64">
        <f t="shared" si="58"/>
        <v>0</v>
      </c>
      <c r="L83" s="43" t="s">
        <v>133</v>
      </c>
      <c r="M83" s="65" t="str">
        <f>VLOOKUP(L83,{"甲级","1.2";"乙级","1.0";"丙级","0.8"},2,0)</f>
        <v>1.2</v>
      </c>
      <c r="N83" s="64">
        <f t="shared" si="59"/>
        <v>0</v>
      </c>
      <c r="O83" s="64">
        <f t="shared" si="60"/>
        <v>0</v>
      </c>
      <c r="P83" s="69" t="s">
        <v>201</v>
      </c>
      <c r="Q83" s="78"/>
      <c r="R83" s="77">
        <f t="shared" ref="R83:R122" si="61">S83-H83</f>
        <v>0</v>
      </c>
      <c r="S83" s="72">
        <f t="shared" si="48"/>
        <v>0</v>
      </c>
      <c r="T83" s="72" t="str">
        <f t="shared" si="49"/>
        <v>89</v>
      </c>
      <c r="U83" s="72">
        <f t="shared" si="50"/>
        <v>0</v>
      </c>
      <c r="V83" s="72" t="str">
        <f t="shared" si="51"/>
        <v>1.2</v>
      </c>
      <c r="W83" s="73">
        <f t="shared" si="52"/>
        <v>0</v>
      </c>
      <c r="X83" s="72"/>
      <c r="Y83" s="82"/>
      <c r="Z83" s="82">
        <f t="shared" si="53"/>
        <v>0</v>
      </c>
      <c r="AA83" s="82" t="str">
        <f t="shared" si="54"/>
        <v>89</v>
      </c>
      <c r="AB83" s="82">
        <f t="shared" si="55"/>
        <v>0</v>
      </c>
      <c r="AC83" s="82" t="str">
        <f t="shared" si="56"/>
        <v>1.2</v>
      </c>
      <c r="AD83" s="83">
        <f t="shared" si="57"/>
        <v>0</v>
      </c>
      <c r="AE83" s="82"/>
    </row>
    <row r="84" customHeight="1" spans="1:31">
      <c r="A84" s="47">
        <v>80</v>
      </c>
      <c r="B84" s="43"/>
      <c r="C84" s="43"/>
      <c r="D84" s="53"/>
      <c r="E84" s="54" t="s">
        <v>155</v>
      </c>
      <c r="F84" s="43" t="s">
        <v>177</v>
      </c>
      <c r="G84" s="46" t="s">
        <v>148</v>
      </c>
      <c r="H84" s="46"/>
      <c r="I84" s="63" t="str">
        <f>VLOOKUP(F84,{"Ⅰ","106";"Ⅱ","164";"Ⅲ","270";"Ⅳ","636";"Ⅴ","795";"Ⅵ","901"},2,0)</f>
        <v>106</v>
      </c>
      <c r="J84" s="64"/>
      <c r="K84" s="64">
        <f t="shared" si="58"/>
        <v>0</v>
      </c>
      <c r="L84" s="43" t="s">
        <v>133</v>
      </c>
      <c r="M84" s="65" t="str">
        <f>VLOOKUP(L84,{"甲级","1.2";"乙级","1.0";"丙级","0.8"},2,0)</f>
        <v>1.2</v>
      </c>
      <c r="N84" s="64">
        <f t="shared" si="59"/>
        <v>0</v>
      </c>
      <c r="O84" s="64">
        <f t="shared" si="60"/>
        <v>0</v>
      </c>
      <c r="P84" s="69" t="s">
        <v>201</v>
      </c>
      <c r="Q84" s="79"/>
      <c r="R84" s="77">
        <f t="shared" si="61"/>
        <v>0</v>
      </c>
      <c r="S84" s="72">
        <f t="shared" si="48"/>
        <v>0</v>
      </c>
      <c r="T84" s="72" t="str">
        <f t="shared" si="49"/>
        <v>106</v>
      </c>
      <c r="U84" s="72">
        <f t="shared" si="50"/>
        <v>0</v>
      </c>
      <c r="V84" s="72" t="str">
        <f t="shared" si="51"/>
        <v>1.2</v>
      </c>
      <c r="W84" s="73">
        <f t="shared" si="52"/>
        <v>0</v>
      </c>
      <c r="X84" s="72"/>
      <c r="Y84" s="82"/>
      <c r="Z84" s="82">
        <f t="shared" si="53"/>
        <v>0</v>
      </c>
      <c r="AA84" s="82" t="str">
        <f t="shared" si="54"/>
        <v>106</v>
      </c>
      <c r="AB84" s="82">
        <f t="shared" si="55"/>
        <v>0</v>
      </c>
      <c r="AC84" s="82" t="str">
        <f t="shared" si="56"/>
        <v>1.2</v>
      </c>
      <c r="AD84" s="83">
        <f t="shared" si="57"/>
        <v>0</v>
      </c>
      <c r="AE84" s="82"/>
    </row>
    <row r="85" customHeight="1" spans="1:31">
      <c r="A85" s="43">
        <v>81</v>
      </c>
      <c r="B85" s="43"/>
      <c r="C85" s="43" t="s">
        <v>206</v>
      </c>
      <c r="D85" s="53" t="s">
        <v>207</v>
      </c>
      <c r="E85" s="54" t="s">
        <v>146</v>
      </c>
      <c r="F85" s="43" t="s">
        <v>177</v>
      </c>
      <c r="G85" s="46" t="s">
        <v>148</v>
      </c>
      <c r="H85" s="46"/>
      <c r="I85" s="63" t="str">
        <f>VLOOKUP(F85,{"Ⅰ","39.10";"Ⅱ","56.35";"Ⅲ","94.30"},2,0)</f>
        <v>39.10</v>
      </c>
      <c r="J85" s="64"/>
      <c r="K85" s="64">
        <f t="shared" si="58"/>
        <v>0</v>
      </c>
      <c r="L85" s="43" t="s">
        <v>133</v>
      </c>
      <c r="M85" s="65" t="str">
        <f>VLOOKUP(L85,{"甲级","1.2";"乙级","1.0";"丙级","0.8"},2,0)</f>
        <v>1.2</v>
      </c>
      <c r="N85" s="64">
        <f t="shared" si="59"/>
        <v>0</v>
      </c>
      <c r="O85" s="64">
        <f t="shared" si="60"/>
        <v>0</v>
      </c>
      <c r="P85" s="69" t="s">
        <v>201</v>
      </c>
      <c r="Q85" s="79"/>
      <c r="R85" s="77">
        <f t="shared" si="61"/>
        <v>0</v>
      </c>
      <c r="S85" s="72">
        <f t="shared" si="48"/>
        <v>0</v>
      </c>
      <c r="T85" s="72" t="str">
        <f t="shared" si="49"/>
        <v>39.10</v>
      </c>
      <c r="U85" s="72">
        <f t="shared" si="50"/>
        <v>0</v>
      </c>
      <c r="V85" s="72" t="str">
        <f t="shared" si="51"/>
        <v>1.2</v>
      </c>
      <c r="W85" s="73">
        <f t="shared" si="52"/>
        <v>0</v>
      </c>
      <c r="X85" s="72"/>
      <c r="Y85" s="82"/>
      <c r="Z85" s="82">
        <f t="shared" si="53"/>
        <v>0</v>
      </c>
      <c r="AA85" s="82" t="str">
        <f t="shared" si="54"/>
        <v>39.10</v>
      </c>
      <c r="AB85" s="82">
        <f t="shared" si="55"/>
        <v>0</v>
      </c>
      <c r="AC85" s="82" t="str">
        <f t="shared" si="56"/>
        <v>1.2</v>
      </c>
      <c r="AD85" s="83">
        <f t="shared" si="57"/>
        <v>0</v>
      </c>
      <c r="AE85" s="82"/>
    </row>
    <row r="86" customHeight="1" spans="1:31">
      <c r="A86" s="47">
        <v>82</v>
      </c>
      <c r="B86" s="43"/>
      <c r="C86" s="43"/>
      <c r="D86" s="53"/>
      <c r="E86" s="54" t="s">
        <v>151</v>
      </c>
      <c r="F86" s="43" t="s">
        <v>177</v>
      </c>
      <c r="G86" s="46" t="s">
        <v>148</v>
      </c>
      <c r="H86" s="46"/>
      <c r="I86" s="63" t="str">
        <f>VLOOKUP(F86,{"Ⅰ","49.45";"Ⅱ","71.30";"Ⅲ","117.30"},2,0)</f>
        <v>49.45</v>
      </c>
      <c r="J86" s="64"/>
      <c r="K86" s="64">
        <f t="shared" si="58"/>
        <v>0</v>
      </c>
      <c r="L86" s="43" t="s">
        <v>133</v>
      </c>
      <c r="M86" s="65" t="str">
        <f>VLOOKUP(L86,{"甲级","1.2";"乙级","1.0";"丙级","0.8"},2,0)</f>
        <v>1.2</v>
      </c>
      <c r="N86" s="64">
        <f t="shared" si="59"/>
        <v>0</v>
      </c>
      <c r="O86" s="64">
        <f t="shared" si="60"/>
        <v>0</v>
      </c>
      <c r="P86" s="69" t="s">
        <v>201</v>
      </c>
      <c r="Q86" s="79"/>
      <c r="R86" s="77">
        <f t="shared" si="61"/>
        <v>0</v>
      </c>
      <c r="S86" s="72">
        <f t="shared" si="48"/>
        <v>0</v>
      </c>
      <c r="T86" s="72" t="str">
        <f t="shared" si="49"/>
        <v>49.45</v>
      </c>
      <c r="U86" s="72">
        <f t="shared" si="50"/>
        <v>0</v>
      </c>
      <c r="V86" s="72" t="str">
        <f t="shared" si="51"/>
        <v>1.2</v>
      </c>
      <c r="W86" s="73">
        <f t="shared" si="52"/>
        <v>0</v>
      </c>
      <c r="X86" s="72"/>
      <c r="Y86" s="82"/>
      <c r="Z86" s="82">
        <f t="shared" si="53"/>
        <v>0</v>
      </c>
      <c r="AA86" s="82" t="str">
        <f t="shared" si="54"/>
        <v>49.45</v>
      </c>
      <c r="AB86" s="82">
        <f t="shared" si="55"/>
        <v>0</v>
      </c>
      <c r="AC86" s="82" t="str">
        <f t="shared" si="56"/>
        <v>1.2</v>
      </c>
      <c r="AD86" s="83">
        <f t="shared" si="57"/>
        <v>0</v>
      </c>
      <c r="AE86" s="82"/>
    </row>
    <row r="87" customHeight="1" spans="1:31">
      <c r="A87" s="43">
        <v>83</v>
      </c>
      <c r="B87" s="43"/>
      <c r="C87" s="43"/>
      <c r="D87" s="53"/>
      <c r="E87" s="54" t="s">
        <v>152</v>
      </c>
      <c r="F87" s="43" t="s">
        <v>177</v>
      </c>
      <c r="G87" s="46" t="s">
        <v>148</v>
      </c>
      <c r="H87" s="46"/>
      <c r="I87" s="63" t="str">
        <f>VLOOKUP(F87,{"Ⅰ","58.65";"Ⅱ","85.10";"Ⅲ","140.30"},2,0)</f>
        <v>58.65</v>
      </c>
      <c r="J87" s="64"/>
      <c r="K87" s="64">
        <f t="shared" si="58"/>
        <v>0</v>
      </c>
      <c r="L87" s="43" t="s">
        <v>133</v>
      </c>
      <c r="M87" s="65" t="str">
        <f>VLOOKUP(L87,{"甲级","1.2";"乙级","1.0";"丙级","0.8"},2,0)</f>
        <v>1.2</v>
      </c>
      <c r="N87" s="64">
        <f t="shared" si="59"/>
        <v>0</v>
      </c>
      <c r="O87" s="64">
        <f t="shared" si="60"/>
        <v>0</v>
      </c>
      <c r="P87" s="69" t="s">
        <v>201</v>
      </c>
      <c r="Q87" s="76"/>
      <c r="R87" s="77">
        <f t="shared" si="61"/>
        <v>0</v>
      </c>
      <c r="S87" s="72">
        <f t="shared" si="48"/>
        <v>0</v>
      </c>
      <c r="T87" s="72" t="str">
        <f t="shared" si="49"/>
        <v>58.65</v>
      </c>
      <c r="U87" s="72">
        <f t="shared" si="50"/>
        <v>0</v>
      </c>
      <c r="V87" s="72" t="str">
        <f t="shared" si="51"/>
        <v>1.2</v>
      </c>
      <c r="W87" s="73">
        <f t="shared" si="52"/>
        <v>0</v>
      </c>
      <c r="X87" s="72"/>
      <c r="Y87" s="82"/>
      <c r="Z87" s="82">
        <f t="shared" si="53"/>
        <v>0</v>
      </c>
      <c r="AA87" s="82" t="str">
        <f t="shared" si="54"/>
        <v>58.65</v>
      </c>
      <c r="AB87" s="82">
        <f t="shared" si="55"/>
        <v>0</v>
      </c>
      <c r="AC87" s="82" t="str">
        <f t="shared" si="56"/>
        <v>1.2</v>
      </c>
      <c r="AD87" s="83">
        <f t="shared" si="57"/>
        <v>0</v>
      </c>
      <c r="AE87" s="82"/>
    </row>
    <row r="88" customHeight="1" spans="1:31">
      <c r="A88" s="47">
        <v>84</v>
      </c>
      <c r="B88" s="43"/>
      <c r="C88" s="43"/>
      <c r="D88" s="53"/>
      <c r="E88" s="54" t="s">
        <v>154</v>
      </c>
      <c r="F88" s="43" t="s">
        <v>177</v>
      </c>
      <c r="G88" s="46" t="s">
        <v>148</v>
      </c>
      <c r="H88" s="46"/>
      <c r="I88" s="63" t="str">
        <f>VLOOKUP(F88,{"Ⅰ","70.15";"Ⅱ","101.20";"Ⅲ","166.75"},2,0)</f>
        <v>70.15</v>
      </c>
      <c r="J88" s="64"/>
      <c r="K88" s="64">
        <f t="shared" si="58"/>
        <v>0</v>
      </c>
      <c r="L88" s="43" t="s">
        <v>133</v>
      </c>
      <c r="M88" s="65" t="str">
        <f>VLOOKUP(L88,{"甲级","1.2";"乙级","1.0";"丙级","0.8"},2,0)</f>
        <v>1.2</v>
      </c>
      <c r="N88" s="64">
        <f t="shared" si="59"/>
        <v>0</v>
      </c>
      <c r="O88" s="64">
        <f t="shared" si="60"/>
        <v>0</v>
      </c>
      <c r="P88" s="69" t="s">
        <v>201</v>
      </c>
      <c r="Q88" s="76"/>
      <c r="R88" s="77">
        <f t="shared" si="61"/>
        <v>0</v>
      </c>
      <c r="S88" s="72">
        <f t="shared" si="48"/>
        <v>0</v>
      </c>
      <c r="T88" s="72" t="str">
        <f t="shared" si="49"/>
        <v>70.15</v>
      </c>
      <c r="U88" s="72">
        <f t="shared" si="50"/>
        <v>0</v>
      </c>
      <c r="V88" s="72" t="str">
        <f t="shared" si="51"/>
        <v>1.2</v>
      </c>
      <c r="W88" s="73">
        <f t="shared" si="52"/>
        <v>0</v>
      </c>
      <c r="X88" s="72"/>
      <c r="Y88" s="82"/>
      <c r="Z88" s="82">
        <f t="shared" si="53"/>
        <v>0</v>
      </c>
      <c r="AA88" s="82" t="str">
        <f t="shared" si="54"/>
        <v>70.15</v>
      </c>
      <c r="AB88" s="82">
        <f t="shared" si="55"/>
        <v>0</v>
      </c>
      <c r="AC88" s="82" t="str">
        <f t="shared" si="56"/>
        <v>1.2</v>
      </c>
      <c r="AD88" s="83">
        <f t="shared" si="57"/>
        <v>0</v>
      </c>
      <c r="AE88" s="82"/>
    </row>
    <row r="89" customHeight="1" spans="1:31">
      <c r="A89" s="43">
        <v>85</v>
      </c>
      <c r="B89" s="43"/>
      <c r="C89" s="43"/>
      <c r="D89" s="53"/>
      <c r="E89" s="54" t="s">
        <v>155</v>
      </c>
      <c r="F89" s="43" t="s">
        <v>177</v>
      </c>
      <c r="G89" s="46" t="s">
        <v>148</v>
      </c>
      <c r="H89" s="46"/>
      <c r="I89" s="63" t="str">
        <f>VLOOKUP(F89,{"Ⅰ","82.80";"Ⅱ","120.75";"Ⅲ","198.95"},2,0)</f>
        <v>82.80</v>
      </c>
      <c r="J89" s="64"/>
      <c r="K89" s="64">
        <f t="shared" si="58"/>
        <v>0</v>
      </c>
      <c r="L89" s="43" t="s">
        <v>133</v>
      </c>
      <c r="M89" s="65" t="str">
        <f>VLOOKUP(L89,{"甲级","1.2";"乙级","1.0";"丙级","0.8"},2,0)</f>
        <v>1.2</v>
      </c>
      <c r="N89" s="64">
        <f t="shared" si="59"/>
        <v>0</v>
      </c>
      <c r="O89" s="64">
        <f t="shared" si="60"/>
        <v>0</v>
      </c>
      <c r="P89" s="69" t="s">
        <v>201</v>
      </c>
      <c r="Q89" s="76"/>
      <c r="R89" s="77">
        <f t="shared" si="61"/>
        <v>0</v>
      </c>
      <c r="S89" s="72">
        <f t="shared" si="48"/>
        <v>0</v>
      </c>
      <c r="T89" s="72" t="str">
        <f t="shared" si="49"/>
        <v>82.80</v>
      </c>
      <c r="U89" s="72">
        <f t="shared" si="50"/>
        <v>0</v>
      </c>
      <c r="V89" s="72" t="str">
        <f t="shared" si="51"/>
        <v>1.2</v>
      </c>
      <c r="W89" s="73">
        <f t="shared" si="52"/>
        <v>0</v>
      </c>
      <c r="X89" s="72"/>
      <c r="Y89" s="82"/>
      <c r="Z89" s="82">
        <f t="shared" si="53"/>
        <v>0</v>
      </c>
      <c r="AA89" s="82" t="str">
        <f t="shared" si="54"/>
        <v>82.80</v>
      </c>
      <c r="AB89" s="82">
        <f t="shared" si="55"/>
        <v>0</v>
      </c>
      <c r="AC89" s="82" t="str">
        <f t="shared" si="56"/>
        <v>1.2</v>
      </c>
      <c r="AD89" s="83">
        <f t="shared" si="57"/>
        <v>0</v>
      </c>
      <c r="AE89" s="82"/>
    </row>
    <row r="90" customHeight="1" spans="1:31">
      <c r="A90" s="47">
        <v>86</v>
      </c>
      <c r="B90" s="43"/>
      <c r="C90" s="43"/>
      <c r="D90" s="53"/>
      <c r="E90" s="54" t="s">
        <v>156</v>
      </c>
      <c r="F90" s="43" t="s">
        <v>177</v>
      </c>
      <c r="G90" s="46" t="s">
        <v>148</v>
      </c>
      <c r="H90" s="46"/>
      <c r="I90" s="63" t="str">
        <f>VLOOKUP(F90,{"Ⅰ","92";"Ⅱ","133.40";"Ⅲ","221.95"},2,0)</f>
        <v>92</v>
      </c>
      <c r="J90" s="64"/>
      <c r="K90" s="64">
        <f t="shared" si="58"/>
        <v>0</v>
      </c>
      <c r="L90" s="43" t="s">
        <v>133</v>
      </c>
      <c r="M90" s="65" t="str">
        <f>VLOOKUP(L90,{"甲级","1.2";"乙级","1.0";"丙级","0.8"},2,0)</f>
        <v>1.2</v>
      </c>
      <c r="N90" s="64">
        <f t="shared" si="59"/>
        <v>0</v>
      </c>
      <c r="O90" s="64">
        <f t="shared" si="60"/>
        <v>0</v>
      </c>
      <c r="P90" s="69" t="s">
        <v>201</v>
      </c>
      <c r="Q90" s="76"/>
      <c r="R90" s="77">
        <f t="shared" si="61"/>
        <v>0</v>
      </c>
      <c r="S90" s="72">
        <f t="shared" si="48"/>
        <v>0</v>
      </c>
      <c r="T90" s="72" t="str">
        <f t="shared" si="49"/>
        <v>92</v>
      </c>
      <c r="U90" s="72">
        <f t="shared" si="50"/>
        <v>0</v>
      </c>
      <c r="V90" s="72" t="str">
        <f t="shared" si="51"/>
        <v>1.2</v>
      </c>
      <c r="W90" s="73">
        <f t="shared" si="52"/>
        <v>0</v>
      </c>
      <c r="X90" s="72"/>
      <c r="Y90" s="82"/>
      <c r="Z90" s="82">
        <f t="shared" si="53"/>
        <v>0</v>
      </c>
      <c r="AA90" s="82" t="str">
        <f t="shared" si="54"/>
        <v>92</v>
      </c>
      <c r="AB90" s="82">
        <f t="shared" si="55"/>
        <v>0</v>
      </c>
      <c r="AC90" s="82" t="str">
        <f t="shared" si="56"/>
        <v>1.2</v>
      </c>
      <c r="AD90" s="83">
        <f t="shared" si="57"/>
        <v>0</v>
      </c>
      <c r="AE90" s="82"/>
    </row>
    <row r="91" customHeight="1" spans="1:31">
      <c r="A91" s="43">
        <v>87</v>
      </c>
      <c r="B91" s="43"/>
      <c r="C91" s="43"/>
      <c r="D91" s="53"/>
      <c r="E91" s="54" t="s">
        <v>157</v>
      </c>
      <c r="F91" s="43" t="s">
        <v>177</v>
      </c>
      <c r="G91" s="46" t="s">
        <v>148</v>
      </c>
      <c r="H91" s="46"/>
      <c r="I91" s="63" t="str">
        <f>VLOOKUP(F91,{"Ⅰ","102.35";"Ⅱ","148.35";"Ⅲ","246.10"},2,0)</f>
        <v>102.35</v>
      </c>
      <c r="J91" s="64"/>
      <c r="K91" s="64">
        <f t="shared" si="58"/>
        <v>0</v>
      </c>
      <c r="L91" s="43" t="s">
        <v>133</v>
      </c>
      <c r="M91" s="65" t="str">
        <f>VLOOKUP(L91,{"甲级","1.2";"乙级","1.0";"丙级","0.8"},2,0)</f>
        <v>1.2</v>
      </c>
      <c r="N91" s="64">
        <f t="shared" si="59"/>
        <v>0</v>
      </c>
      <c r="O91" s="64">
        <f t="shared" si="60"/>
        <v>0</v>
      </c>
      <c r="P91" s="69" t="s">
        <v>201</v>
      </c>
      <c r="Q91" s="76"/>
      <c r="R91" s="77">
        <f t="shared" si="61"/>
        <v>0</v>
      </c>
      <c r="S91" s="72">
        <f t="shared" si="48"/>
        <v>0</v>
      </c>
      <c r="T91" s="72" t="str">
        <f t="shared" si="49"/>
        <v>102.35</v>
      </c>
      <c r="U91" s="72">
        <f t="shared" si="50"/>
        <v>0</v>
      </c>
      <c r="V91" s="72" t="str">
        <f t="shared" si="51"/>
        <v>1.2</v>
      </c>
      <c r="W91" s="73">
        <f t="shared" si="52"/>
        <v>0</v>
      </c>
      <c r="X91" s="72"/>
      <c r="Y91" s="82"/>
      <c r="Z91" s="82">
        <f t="shared" si="53"/>
        <v>0</v>
      </c>
      <c r="AA91" s="82" t="str">
        <f t="shared" si="54"/>
        <v>102.35</v>
      </c>
      <c r="AB91" s="82">
        <f t="shared" si="55"/>
        <v>0</v>
      </c>
      <c r="AC91" s="82" t="str">
        <f t="shared" si="56"/>
        <v>1.2</v>
      </c>
      <c r="AD91" s="83">
        <f t="shared" si="57"/>
        <v>0</v>
      </c>
      <c r="AE91" s="82"/>
    </row>
    <row r="92" customHeight="1" spans="1:31">
      <c r="A92" s="47">
        <v>88</v>
      </c>
      <c r="B92" s="43"/>
      <c r="C92" s="43" t="s">
        <v>208</v>
      </c>
      <c r="D92" s="53" t="s">
        <v>209</v>
      </c>
      <c r="E92" s="54" t="s">
        <v>210</v>
      </c>
      <c r="F92" s="43"/>
      <c r="G92" s="46" t="s">
        <v>211</v>
      </c>
      <c r="H92" s="46"/>
      <c r="I92" s="63">
        <v>35100</v>
      </c>
      <c r="J92" s="64"/>
      <c r="K92" s="64">
        <f t="shared" si="58"/>
        <v>0</v>
      </c>
      <c r="L92" s="43" t="s">
        <v>133</v>
      </c>
      <c r="M92" s="65" t="str">
        <f>VLOOKUP(L92,{"甲级","1.2";"乙级","1.0";"丙级","0.8"},2,0)</f>
        <v>1.2</v>
      </c>
      <c r="N92" s="64">
        <f t="shared" si="59"/>
        <v>0</v>
      </c>
      <c r="O92" s="64">
        <f t="shared" si="60"/>
        <v>0</v>
      </c>
      <c r="P92" s="69" t="s">
        <v>201</v>
      </c>
      <c r="Q92" s="76"/>
      <c r="R92" s="77">
        <f t="shared" si="61"/>
        <v>0</v>
      </c>
      <c r="S92" s="72">
        <f t="shared" si="48"/>
        <v>0</v>
      </c>
      <c r="T92" s="72">
        <f t="shared" si="49"/>
        <v>35100</v>
      </c>
      <c r="U92" s="72">
        <f t="shared" si="50"/>
        <v>0</v>
      </c>
      <c r="V92" s="72" t="str">
        <f t="shared" si="51"/>
        <v>1.2</v>
      </c>
      <c r="W92" s="73">
        <f t="shared" si="52"/>
        <v>0</v>
      </c>
      <c r="X92" s="72"/>
      <c r="Y92" s="82"/>
      <c r="Z92" s="82">
        <f t="shared" si="53"/>
        <v>0</v>
      </c>
      <c r="AA92" s="82">
        <f t="shared" si="54"/>
        <v>35100</v>
      </c>
      <c r="AB92" s="82">
        <f t="shared" si="55"/>
        <v>0</v>
      </c>
      <c r="AC92" s="82" t="str">
        <f t="shared" si="56"/>
        <v>1.2</v>
      </c>
      <c r="AD92" s="83">
        <f t="shared" si="57"/>
        <v>0</v>
      </c>
      <c r="AE92" s="82"/>
    </row>
    <row r="93" customHeight="1" spans="1:31">
      <c r="A93" s="43">
        <v>89</v>
      </c>
      <c r="B93" s="43"/>
      <c r="C93" s="43" t="s">
        <v>212</v>
      </c>
      <c r="D93" s="53" t="s">
        <v>213</v>
      </c>
      <c r="E93" s="54" t="s">
        <v>199</v>
      </c>
      <c r="F93" s="43"/>
      <c r="G93" s="46" t="s">
        <v>214</v>
      </c>
      <c r="H93" s="46"/>
      <c r="I93" s="63">
        <v>1753</v>
      </c>
      <c r="J93" s="64"/>
      <c r="K93" s="64">
        <f t="shared" ref="K93:K103" si="62">I93*H93*J93</f>
        <v>0</v>
      </c>
      <c r="L93" s="43" t="s">
        <v>133</v>
      </c>
      <c r="M93" s="65" t="str">
        <f>VLOOKUP(L93,{"甲级","1.2";"乙级","1.0";"丙级","0.8"},2,0)</f>
        <v>1.2</v>
      </c>
      <c r="N93" s="64">
        <f t="shared" ref="N93:N103" si="63">K93*M93</f>
        <v>0</v>
      </c>
      <c r="O93" s="64">
        <f t="shared" ref="O93:O103" si="64">K93+N93</f>
        <v>0</v>
      </c>
      <c r="P93" s="69" t="s">
        <v>201</v>
      </c>
      <c r="Q93" s="76"/>
      <c r="R93" s="77">
        <f t="shared" si="61"/>
        <v>0</v>
      </c>
      <c r="S93" s="72">
        <f t="shared" si="48"/>
        <v>0</v>
      </c>
      <c r="T93" s="72">
        <f t="shared" si="49"/>
        <v>1753</v>
      </c>
      <c r="U93" s="72">
        <f t="shared" si="50"/>
        <v>0</v>
      </c>
      <c r="V93" s="72" t="str">
        <f t="shared" si="51"/>
        <v>1.2</v>
      </c>
      <c r="W93" s="73">
        <f t="shared" si="52"/>
        <v>0</v>
      </c>
      <c r="X93" s="72"/>
      <c r="Y93" s="82"/>
      <c r="Z93" s="82">
        <f t="shared" si="53"/>
        <v>0</v>
      </c>
      <c r="AA93" s="82">
        <f t="shared" si="54"/>
        <v>1753</v>
      </c>
      <c r="AB93" s="82">
        <f t="shared" si="55"/>
        <v>0</v>
      </c>
      <c r="AC93" s="82" t="str">
        <f t="shared" si="56"/>
        <v>1.2</v>
      </c>
      <c r="AD93" s="83">
        <f t="shared" si="57"/>
        <v>0</v>
      </c>
      <c r="AE93" s="82"/>
    </row>
    <row r="94" customHeight="1" spans="1:31">
      <c r="A94" s="47">
        <v>90</v>
      </c>
      <c r="B94" s="43"/>
      <c r="C94" s="43"/>
      <c r="D94" s="53"/>
      <c r="E94" s="54" t="s">
        <v>215</v>
      </c>
      <c r="F94" s="43"/>
      <c r="G94" s="46" t="s">
        <v>214</v>
      </c>
      <c r="H94" s="46"/>
      <c r="I94" s="63">
        <v>2104</v>
      </c>
      <c r="J94" s="64"/>
      <c r="K94" s="64">
        <f t="shared" si="62"/>
        <v>0</v>
      </c>
      <c r="L94" s="43" t="s">
        <v>133</v>
      </c>
      <c r="M94" s="65" t="str">
        <f>VLOOKUP(L94,{"甲级","1.2";"乙级","1.0";"丙级","0.8"},2,0)</f>
        <v>1.2</v>
      </c>
      <c r="N94" s="64">
        <f t="shared" si="63"/>
        <v>0</v>
      </c>
      <c r="O94" s="64">
        <f t="shared" si="64"/>
        <v>0</v>
      </c>
      <c r="P94" s="69" t="s">
        <v>201</v>
      </c>
      <c r="Q94" s="76"/>
      <c r="R94" s="77">
        <f t="shared" si="61"/>
        <v>0</v>
      </c>
      <c r="S94" s="72">
        <f t="shared" si="48"/>
        <v>0</v>
      </c>
      <c r="T94" s="72">
        <f t="shared" si="49"/>
        <v>2104</v>
      </c>
      <c r="U94" s="72">
        <f t="shared" si="50"/>
        <v>0</v>
      </c>
      <c r="V94" s="72" t="str">
        <f t="shared" si="51"/>
        <v>1.2</v>
      </c>
      <c r="W94" s="73">
        <f t="shared" si="52"/>
        <v>0</v>
      </c>
      <c r="X94" s="72"/>
      <c r="Y94" s="82"/>
      <c r="Z94" s="82">
        <f t="shared" si="53"/>
        <v>0</v>
      </c>
      <c r="AA94" s="82">
        <f t="shared" si="54"/>
        <v>2104</v>
      </c>
      <c r="AB94" s="82">
        <f t="shared" si="55"/>
        <v>0</v>
      </c>
      <c r="AC94" s="82" t="str">
        <f t="shared" si="56"/>
        <v>1.2</v>
      </c>
      <c r="AD94" s="83">
        <f t="shared" si="57"/>
        <v>0</v>
      </c>
      <c r="AE94" s="82"/>
    </row>
    <row r="95" customHeight="1" spans="1:31">
      <c r="A95" s="43">
        <v>91</v>
      </c>
      <c r="B95" s="43"/>
      <c r="C95" s="43"/>
      <c r="D95" s="53" t="s">
        <v>216</v>
      </c>
      <c r="E95" s="54" t="s">
        <v>217</v>
      </c>
      <c r="F95" s="43"/>
      <c r="G95" s="46" t="s">
        <v>214</v>
      </c>
      <c r="H95" s="46"/>
      <c r="I95" s="63">
        <v>409</v>
      </c>
      <c r="J95" s="64"/>
      <c r="K95" s="64">
        <f t="shared" si="62"/>
        <v>0</v>
      </c>
      <c r="L95" s="43" t="s">
        <v>133</v>
      </c>
      <c r="M95" s="65" t="str">
        <f>VLOOKUP(L95,{"甲级","1.2";"乙级","1.0";"丙级","0.8"},2,0)</f>
        <v>1.2</v>
      </c>
      <c r="N95" s="64">
        <f t="shared" si="63"/>
        <v>0</v>
      </c>
      <c r="O95" s="64">
        <f t="shared" si="64"/>
        <v>0</v>
      </c>
      <c r="P95" s="69" t="s">
        <v>201</v>
      </c>
      <c r="Q95" s="76"/>
      <c r="R95" s="77">
        <f t="shared" si="61"/>
        <v>0</v>
      </c>
      <c r="S95" s="72">
        <f t="shared" si="48"/>
        <v>0</v>
      </c>
      <c r="T95" s="72">
        <f t="shared" si="49"/>
        <v>409</v>
      </c>
      <c r="U95" s="72">
        <f t="shared" si="50"/>
        <v>0</v>
      </c>
      <c r="V95" s="72" t="str">
        <f t="shared" si="51"/>
        <v>1.2</v>
      </c>
      <c r="W95" s="73">
        <f t="shared" si="52"/>
        <v>0</v>
      </c>
      <c r="X95" s="72"/>
      <c r="Y95" s="82"/>
      <c r="Z95" s="82">
        <f t="shared" si="53"/>
        <v>0</v>
      </c>
      <c r="AA95" s="82">
        <f t="shared" si="54"/>
        <v>409</v>
      </c>
      <c r="AB95" s="82">
        <f t="shared" si="55"/>
        <v>0</v>
      </c>
      <c r="AC95" s="82" t="str">
        <f t="shared" si="56"/>
        <v>1.2</v>
      </c>
      <c r="AD95" s="83">
        <f t="shared" si="57"/>
        <v>0</v>
      </c>
      <c r="AE95" s="82"/>
    </row>
    <row r="96" customHeight="1" spans="1:31">
      <c r="A96" s="47">
        <v>92</v>
      </c>
      <c r="B96" s="43"/>
      <c r="C96" s="43"/>
      <c r="D96" s="53"/>
      <c r="E96" s="54" t="s">
        <v>218</v>
      </c>
      <c r="F96" s="43"/>
      <c r="G96" s="46" t="s">
        <v>214</v>
      </c>
      <c r="H96" s="46"/>
      <c r="I96" s="63">
        <v>205</v>
      </c>
      <c r="J96" s="64"/>
      <c r="K96" s="64">
        <f t="shared" si="62"/>
        <v>0</v>
      </c>
      <c r="L96" s="43" t="s">
        <v>133</v>
      </c>
      <c r="M96" s="65" t="str">
        <f>VLOOKUP(L96,{"甲级","1.2";"乙级","1.0";"丙级","0.8"},2,0)</f>
        <v>1.2</v>
      </c>
      <c r="N96" s="64">
        <f t="shared" si="63"/>
        <v>0</v>
      </c>
      <c r="O96" s="64">
        <f t="shared" si="64"/>
        <v>0</v>
      </c>
      <c r="P96" s="69" t="s">
        <v>201</v>
      </c>
      <c r="Q96" s="76"/>
      <c r="R96" s="77">
        <f t="shared" si="61"/>
        <v>0</v>
      </c>
      <c r="S96" s="72">
        <f t="shared" si="48"/>
        <v>0</v>
      </c>
      <c r="T96" s="72">
        <f t="shared" si="49"/>
        <v>205</v>
      </c>
      <c r="U96" s="72">
        <f t="shared" si="50"/>
        <v>0</v>
      </c>
      <c r="V96" s="72" t="str">
        <f t="shared" si="51"/>
        <v>1.2</v>
      </c>
      <c r="W96" s="73">
        <f t="shared" si="52"/>
        <v>0</v>
      </c>
      <c r="X96" s="72"/>
      <c r="Y96" s="82"/>
      <c r="Z96" s="82">
        <f t="shared" si="53"/>
        <v>0</v>
      </c>
      <c r="AA96" s="82">
        <f t="shared" si="54"/>
        <v>205</v>
      </c>
      <c r="AB96" s="82">
        <f t="shared" si="55"/>
        <v>0</v>
      </c>
      <c r="AC96" s="82" t="str">
        <f t="shared" si="56"/>
        <v>1.2</v>
      </c>
      <c r="AD96" s="83">
        <f t="shared" si="57"/>
        <v>0</v>
      </c>
      <c r="AE96" s="82"/>
    </row>
    <row r="97" customHeight="1" spans="1:31">
      <c r="A97" s="43">
        <v>93</v>
      </c>
      <c r="B97" s="48" t="s">
        <v>219</v>
      </c>
      <c r="C97" s="43" t="s">
        <v>220</v>
      </c>
      <c r="D97" s="53"/>
      <c r="E97" s="54" t="s">
        <v>221</v>
      </c>
      <c r="F97" s="43"/>
      <c r="G97" s="46" t="s">
        <v>222</v>
      </c>
      <c r="H97" s="46"/>
      <c r="I97" s="63">
        <v>840</v>
      </c>
      <c r="J97" s="64"/>
      <c r="K97" s="64">
        <f t="shared" si="62"/>
        <v>0</v>
      </c>
      <c r="L97" s="43" t="s">
        <v>63</v>
      </c>
      <c r="M97" s="65" t="str">
        <f>VLOOKUP(L97,{"简单","0.27";"中等","0.30";"复杂","0.33"},2,0)</f>
        <v>0.33</v>
      </c>
      <c r="N97" s="64">
        <f t="shared" si="63"/>
        <v>0</v>
      </c>
      <c r="O97" s="64">
        <f t="shared" si="64"/>
        <v>0</v>
      </c>
      <c r="P97" s="69" t="s">
        <v>223</v>
      </c>
      <c r="Q97" s="76"/>
      <c r="R97" s="77">
        <f t="shared" si="61"/>
        <v>0</v>
      </c>
      <c r="S97" s="72">
        <f t="shared" si="48"/>
        <v>0</v>
      </c>
      <c r="T97" s="72">
        <f t="shared" si="49"/>
        <v>840</v>
      </c>
      <c r="U97" s="72">
        <f t="shared" si="50"/>
        <v>0</v>
      </c>
      <c r="V97" s="72" t="str">
        <f t="shared" si="51"/>
        <v>0.33</v>
      </c>
      <c r="W97" s="73">
        <f t="shared" si="52"/>
        <v>0</v>
      </c>
      <c r="X97" s="72"/>
      <c r="Y97" s="82"/>
      <c r="Z97" s="82">
        <f t="shared" si="53"/>
        <v>0</v>
      </c>
      <c r="AA97" s="82">
        <f t="shared" si="54"/>
        <v>840</v>
      </c>
      <c r="AB97" s="82">
        <f t="shared" si="55"/>
        <v>0</v>
      </c>
      <c r="AC97" s="82" t="str">
        <f t="shared" si="56"/>
        <v>0.33</v>
      </c>
      <c r="AD97" s="83">
        <f t="shared" si="57"/>
        <v>0</v>
      </c>
      <c r="AE97" s="82"/>
    </row>
    <row r="98" customHeight="1" spans="1:31">
      <c r="A98" s="47">
        <v>94</v>
      </c>
      <c r="B98" s="50"/>
      <c r="C98" s="43" t="s">
        <v>224</v>
      </c>
      <c r="D98" s="54" t="s">
        <v>225</v>
      </c>
      <c r="E98" s="54"/>
      <c r="F98" s="43"/>
      <c r="G98" s="46" t="s">
        <v>222</v>
      </c>
      <c r="H98" s="46"/>
      <c r="I98" s="63">
        <v>170</v>
      </c>
      <c r="J98" s="64"/>
      <c r="K98" s="64">
        <f t="shared" si="62"/>
        <v>0</v>
      </c>
      <c r="L98" s="43" t="s">
        <v>63</v>
      </c>
      <c r="M98" s="65" t="str">
        <f>VLOOKUP(L98,{"简单","0.27";"中等","0.30";"复杂","0.33"},2,0)</f>
        <v>0.33</v>
      </c>
      <c r="N98" s="64">
        <f t="shared" si="63"/>
        <v>0</v>
      </c>
      <c r="O98" s="64">
        <f t="shared" si="64"/>
        <v>0</v>
      </c>
      <c r="P98" s="69" t="s">
        <v>223</v>
      </c>
      <c r="Q98" s="76"/>
      <c r="R98" s="77">
        <f t="shared" si="61"/>
        <v>0</v>
      </c>
      <c r="S98" s="72">
        <f t="shared" si="48"/>
        <v>0</v>
      </c>
      <c r="T98" s="72">
        <f t="shared" si="49"/>
        <v>170</v>
      </c>
      <c r="U98" s="72">
        <f t="shared" si="50"/>
        <v>0</v>
      </c>
      <c r="V98" s="72" t="str">
        <f t="shared" si="51"/>
        <v>0.33</v>
      </c>
      <c r="W98" s="73">
        <f t="shared" si="52"/>
        <v>0</v>
      </c>
      <c r="X98" s="72"/>
      <c r="Y98" s="82"/>
      <c r="Z98" s="82">
        <f t="shared" si="53"/>
        <v>0</v>
      </c>
      <c r="AA98" s="82">
        <f t="shared" si="54"/>
        <v>170</v>
      </c>
      <c r="AB98" s="82">
        <f t="shared" si="55"/>
        <v>0</v>
      </c>
      <c r="AC98" s="82" t="str">
        <f t="shared" si="56"/>
        <v>0.33</v>
      </c>
      <c r="AD98" s="83">
        <f t="shared" si="57"/>
        <v>0</v>
      </c>
      <c r="AE98" s="82"/>
    </row>
    <row r="99" customHeight="1" spans="1:31">
      <c r="A99" s="43">
        <v>95</v>
      </c>
      <c r="B99" s="50"/>
      <c r="C99" s="43"/>
      <c r="D99" s="87" t="s">
        <v>226</v>
      </c>
      <c r="E99" s="54" t="s">
        <v>227</v>
      </c>
      <c r="F99" s="43"/>
      <c r="G99" s="46" t="s">
        <v>200</v>
      </c>
      <c r="H99" s="46"/>
      <c r="I99" s="63">
        <v>20</v>
      </c>
      <c r="J99" s="64"/>
      <c r="K99" s="64">
        <f t="shared" si="62"/>
        <v>0</v>
      </c>
      <c r="L99" s="43" t="s">
        <v>63</v>
      </c>
      <c r="M99" s="65" t="str">
        <f>VLOOKUP(L99,{"简单","0.27";"中等","0.30";"复杂","0.33"},2,0)</f>
        <v>0.33</v>
      </c>
      <c r="N99" s="64">
        <f t="shared" si="63"/>
        <v>0</v>
      </c>
      <c r="O99" s="64">
        <f t="shared" si="64"/>
        <v>0</v>
      </c>
      <c r="P99" s="69" t="s">
        <v>223</v>
      </c>
      <c r="Q99" s="76"/>
      <c r="R99" s="77">
        <f t="shared" si="61"/>
        <v>0</v>
      </c>
      <c r="S99" s="72">
        <f t="shared" si="48"/>
        <v>0</v>
      </c>
      <c r="T99" s="72">
        <f t="shared" si="49"/>
        <v>20</v>
      </c>
      <c r="U99" s="72">
        <f t="shared" si="50"/>
        <v>0</v>
      </c>
      <c r="V99" s="72" t="str">
        <f t="shared" si="51"/>
        <v>0.33</v>
      </c>
      <c r="W99" s="73">
        <f t="shared" si="52"/>
        <v>0</v>
      </c>
      <c r="X99" s="72"/>
      <c r="Y99" s="82"/>
      <c r="Z99" s="82">
        <f t="shared" si="53"/>
        <v>0</v>
      </c>
      <c r="AA99" s="82">
        <f t="shared" si="54"/>
        <v>20</v>
      </c>
      <c r="AB99" s="82">
        <f t="shared" si="55"/>
        <v>0</v>
      </c>
      <c r="AC99" s="82" t="str">
        <f t="shared" si="56"/>
        <v>0.33</v>
      </c>
      <c r="AD99" s="83">
        <f t="shared" si="57"/>
        <v>0</v>
      </c>
      <c r="AE99" s="82"/>
    </row>
    <row r="100" customHeight="1" spans="1:31">
      <c r="A100" s="47">
        <v>96</v>
      </c>
      <c r="B100" s="50"/>
      <c r="C100" s="43"/>
      <c r="D100" s="87"/>
      <c r="E100" s="54" t="s">
        <v>228</v>
      </c>
      <c r="F100" s="43"/>
      <c r="G100" s="46" t="s">
        <v>200</v>
      </c>
      <c r="H100" s="46"/>
      <c r="I100" s="63">
        <v>40</v>
      </c>
      <c r="J100" s="64"/>
      <c r="K100" s="64">
        <f t="shared" si="62"/>
        <v>0</v>
      </c>
      <c r="L100" s="43" t="s">
        <v>63</v>
      </c>
      <c r="M100" s="65" t="str">
        <f>VLOOKUP(L100,{"简单","0.27";"中等","0.30";"复杂","0.33"},2,0)</f>
        <v>0.33</v>
      </c>
      <c r="N100" s="64">
        <f t="shared" si="63"/>
        <v>0</v>
      </c>
      <c r="O100" s="64">
        <f t="shared" si="64"/>
        <v>0</v>
      </c>
      <c r="P100" s="69" t="s">
        <v>223</v>
      </c>
      <c r="Q100" s="76"/>
      <c r="R100" s="77">
        <f t="shared" si="61"/>
        <v>0</v>
      </c>
      <c r="S100" s="72">
        <f t="shared" si="48"/>
        <v>0</v>
      </c>
      <c r="T100" s="72">
        <f t="shared" si="49"/>
        <v>40</v>
      </c>
      <c r="U100" s="72">
        <f t="shared" si="50"/>
        <v>0</v>
      </c>
      <c r="V100" s="72" t="str">
        <f t="shared" si="51"/>
        <v>0.33</v>
      </c>
      <c r="W100" s="73">
        <f t="shared" si="52"/>
        <v>0</v>
      </c>
      <c r="X100" s="72"/>
      <c r="Y100" s="82"/>
      <c r="Z100" s="82">
        <f t="shared" si="53"/>
        <v>0</v>
      </c>
      <c r="AA100" s="82">
        <f t="shared" si="54"/>
        <v>40</v>
      </c>
      <c r="AB100" s="82">
        <f t="shared" si="55"/>
        <v>0</v>
      </c>
      <c r="AC100" s="82" t="str">
        <f t="shared" si="56"/>
        <v>0.33</v>
      </c>
      <c r="AD100" s="83">
        <f t="shared" si="57"/>
        <v>0</v>
      </c>
      <c r="AE100" s="82"/>
    </row>
    <row r="101" customHeight="1" spans="1:31">
      <c r="A101" s="43">
        <v>97</v>
      </c>
      <c r="B101" s="50"/>
      <c r="C101" s="43"/>
      <c r="D101" s="87"/>
      <c r="E101" s="54" t="s">
        <v>229</v>
      </c>
      <c r="F101" s="43"/>
      <c r="G101" s="46" t="s">
        <v>200</v>
      </c>
      <c r="H101" s="46"/>
      <c r="I101" s="63">
        <v>50</v>
      </c>
      <c r="J101" s="64"/>
      <c r="K101" s="64">
        <f t="shared" si="62"/>
        <v>0</v>
      </c>
      <c r="L101" s="43" t="s">
        <v>63</v>
      </c>
      <c r="M101" s="65" t="str">
        <f>VLOOKUP(L101,{"简单","0.27";"中等","0.30";"复杂","0.33"},2,0)</f>
        <v>0.33</v>
      </c>
      <c r="N101" s="64">
        <f t="shared" si="63"/>
        <v>0</v>
      </c>
      <c r="O101" s="64">
        <f t="shared" si="64"/>
        <v>0</v>
      </c>
      <c r="P101" s="69" t="s">
        <v>223</v>
      </c>
      <c r="Q101" s="76"/>
      <c r="R101" s="77">
        <f t="shared" si="61"/>
        <v>0</v>
      </c>
      <c r="S101" s="72">
        <f t="shared" si="48"/>
        <v>0</v>
      </c>
      <c r="T101" s="72">
        <f t="shared" si="49"/>
        <v>50</v>
      </c>
      <c r="U101" s="72">
        <f t="shared" si="50"/>
        <v>0</v>
      </c>
      <c r="V101" s="72" t="str">
        <f t="shared" si="51"/>
        <v>0.33</v>
      </c>
      <c r="W101" s="73">
        <f t="shared" si="52"/>
        <v>0</v>
      </c>
      <c r="X101" s="72"/>
      <c r="Y101" s="82"/>
      <c r="Z101" s="82">
        <f t="shared" si="53"/>
        <v>0</v>
      </c>
      <c r="AA101" s="82">
        <f t="shared" si="54"/>
        <v>50</v>
      </c>
      <c r="AB101" s="82">
        <f t="shared" si="55"/>
        <v>0</v>
      </c>
      <c r="AC101" s="82" t="str">
        <f t="shared" si="56"/>
        <v>0.33</v>
      </c>
      <c r="AD101" s="83">
        <f t="shared" si="57"/>
        <v>0</v>
      </c>
      <c r="AE101" s="82"/>
    </row>
    <row r="102" customHeight="1" spans="1:31">
      <c r="A102" s="47">
        <v>98</v>
      </c>
      <c r="B102" s="43" t="s">
        <v>230</v>
      </c>
      <c r="C102" s="88" t="s">
        <v>231</v>
      </c>
      <c r="D102" s="87" t="s">
        <v>232</v>
      </c>
      <c r="E102" s="54" t="s">
        <v>233</v>
      </c>
      <c r="F102" s="43" t="s">
        <v>67</v>
      </c>
      <c r="G102" s="89" t="s">
        <v>234</v>
      </c>
      <c r="H102" s="46"/>
      <c r="I102" s="65" t="str">
        <f>VLOOKUP(F102,{"简单","54600";"中等","78100";"复杂","109300"},2,0)</f>
        <v>78100</v>
      </c>
      <c r="J102" s="64"/>
      <c r="K102" s="64">
        <f t="shared" si="62"/>
        <v>0</v>
      </c>
      <c r="L102" s="43" t="s">
        <v>235</v>
      </c>
      <c r="M102" s="65">
        <v>0.22</v>
      </c>
      <c r="N102" s="64">
        <f t="shared" si="63"/>
        <v>0</v>
      </c>
      <c r="O102" s="64">
        <f t="shared" si="64"/>
        <v>0</v>
      </c>
      <c r="P102" s="69" t="s">
        <v>236</v>
      </c>
      <c r="Q102" s="76"/>
      <c r="R102" s="77">
        <f t="shared" si="61"/>
        <v>0</v>
      </c>
      <c r="S102" s="72">
        <f t="shared" si="48"/>
        <v>0</v>
      </c>
      <c r="T102" s="72" t="str">
        <f t="shared" si="49"/>
        <v>78100</v>
      </c>
      <c r="U102" s="72">
        <f t="shared" si="50"/>
        <v>0</v>
      </c>
      <c r="V102" s="72">
        <f t="shared" si="51"/>
        <v>0.22</v>
      </c>
      <c r="W102" s="73">
        <f t="shared" si="52"/>
        <v>0</v>
      </c>
      <c r="X102" s="72"/>
      <c r="Y102" s="82"/>
      <c r="Z102" s="82">
        <f t="shared" si="53"/>
        <v>0</v>
      </c>
      <c r="AA102" s="82" t="str">
        <f t="shared" si="54"/>
        <v>78100</v>
      </c>
      <c r="AB102" s="82">
        <f t="shared" si="55"/>
        <v>0</v>
      </c>
      <c r="AC102" s="82">
        <f t="shared" si="56"/>
        <v>0.22</v>
      </c>
      <c r="AD102" s="83">
        <f t="shared" si="57"/>
        <v>0</v>
      </c>
      <c r="AE102" s="82"/>
    </row>
    <row r="103" customHeight="1" spans="1:31">
      <c r="A103" s="43">
        <v>99</v>
      </c>
      <c r="B103" s="43"/>
      <c r="C103" s="90" t="s">
        <v>237</v>
      </c>
      <c r="D103" s="87" t="s">
        <v>238</v>
      </c>
      <c r="E103" s="54" t="s">
        <v>239</v>
      </c>
      <c r="F103" s="43" t="s">
        <v>67</v>
      </c>
      <c r="G103" s="89" t="s">
        <v>240</v>
      </c>
      <c r="H103" s="46"/>
      <c r="I103" s="65" t="str">
        <f>VLOOKUP(F103,{"简单","12400";"中等","17800";"复杂","24800"},2,0)</f>
        <v>17800</v>
      </c>
      <c r="J103" s="64"/>
      <c r="K103" s="64">
        <f t="shared" si="62"/>
        <v>0</v>
      </c>
      <c r="L103" s="43" t="s">
        <v>235</v>
      </c>
      <c r="M103" s="65">
        <v>0.22</v>
      </c>
      <c r="N103" s="64">
        <f t="shared" si="63"/>
        <v>0</v>
      </c>
      <c r="O103" s="64">
        <f t="shared" si="64"/>
        <v>0</v>
      </c>
      <c r="P103" s="69" t="s">
        <v>236</v>
      </c>
      <c r="Q103" s="76"/>
      <c r="R103" s="77">
        <f t="shared" si="61"/>
        <v>0</v>
      </c>
      <c r="S103" s="72">
        <f t="shared" si="48"/>
        <v>0</v>
      </c>
      <c r="T103" s="72" t="str">
        <f t="shared" si="49"/>
        <v>17800</v>
      </c>
      <c r="U103" s="72">
        <f t="shared" si="50"/>
        <v>0</v>
      </c>
      <c r="V103" s="72">
        <f t="shared" si="51"/>
        <v>0.22</v>
      </c>
      <c r="W103" s="73">
        <f t="shared" si="52"/>
        <v>0</v>
      </c>
      <c r="X103" s="72"/>
      <c r="Y103" s="82"/>
      <c r="Z103" s="82">
        <f t="shared" si="53"/>
        <v>0</v>
      </c>
      <c r="AA103" s="82" t="str">
        <f t="shared" si="54"/>
        <v>17800</v>
      </c>
      <c r="AB103" s="82">
        <f t="shared" si="55"/>
        <v>0</v>
      </c>
      <c r="AC103" s="82">
        <f t="shared" si="56"/>
        <v>0.22</v>
      </c>
      <c r="AD103" s="83">
        <f t="shared" si="57"/>
        <v>0</v>
      </c>
      <c r="AE103" s="82"/>
    </row>
    <row r="104" customHeight="1" spans="1:31">
      <c r="A104" s="47">
        <v>100</v>
      </c>
      <c r="B104" s="43" t="s">
        <v>241</v>
      </c>
      <c r="C104" s="87" t="s">
        <v>242</v>
      </c>
      <c r="D104" s="43" t="s">
        <v>243</v>
      </c>
      <c r="E104" s="43"/>
      <c r="F104" s="43"/>
      <c r="G104" s="46" t="s">
        <v>244</v>
      </c>
      <c r="H104" s="46"/>
      <c r="I104" s="91">
        <v>18</v>
      </c>
      <c r="J104" s="64"/>
      <c r="K104" s="64">
        <f t="shared" ref="K104:K122" si="65">I104*H104*J104</f>
        <v>0</v>
      </c>
      <c r="L104" s="43" t="s">
        <v>245</v>
      </c>
      <c r="M104" s="65" t="str">
        <f>VLOOKUP(L104,{"甲级","1.2";"乙级","1";"丙级","0.8";"物探","0.22"},2,0)</f>
        <v>0.22</v>
      </c>
      <c r="N104" s="64">
        <f t="shared" ref="N104:N122" si="66">K104*M104</f>
        <v>0</v>
      </c>
      <c r="O104" s="64">
        <f t="shared" ref="O104:O122" si="67">K104+N104</f>
        <v>0</v>
      </c>
      <c r="P104" s="69" t="s">
        <v>246</v>
      </c>
      <c r="Q104" s="76"/>
      <c r="R104" s="77">
        <f t="shared" si="61"/>
        <v>0</v>
      </c>
      <c r="S104" s="72">
        <f t="shared" si="48"/>
        <v>0</v>
      </c>
      <c r="T104" s="72">
        <f t="shared" si="49"/>
        <v>18</v>
      </c>
      <c r="U104" s="72">
        <f t="shared" si="50"/>
        <v>0</v>
      </c>
      <c r="V104" s="72" t="str">
        <f t="shared" si="51"/>
        <v>0.22</v>
      </c>
      <c r="W104" s="73">
        <f t="shared" si="52"/>
        <v>0</v>
      </c>
      <c r="X104" s="72"/>
      <c r="Y104" s="82"/>
      <c r="Z104" s="82">
        <f t="shared" si="53"/>
        <v>0</v>
      </c>
      <c r="AA104" s="82">
        <f t="shared" si="54"/>
        <v>18</v>
      </c>
      <c r="AB104" s="82">
        <f t="shared" si="55"/>
        <v>0</v>
      </c>
      <c r="AC104" s="82" t="str">
        <f t="shared" si="56"/>
        <v>0.22</v>
      </c>
      <c r="AD104" s="83">
        <f t="shared" si="57"/>
        <v>0</v>
      </c>
      <c r="AE104" s="82"/>
    </row>
    <row r="105" customHeight="1" spans="1:31">
      <c r="A105" s="43">
        <v>101</v>
      </c>
      <c r="B105" s="43"/>
      <c r="C105" s="53"/>
      <c r="D105" s="53" t="s">
        <v>247</v>
      </c>
      <c r="E105" s="87" t="s">
        <v>248</v>
      </c>
      <c r="F105" s="87"/>
      <c r="G105" s="46" t="s">
        <v>244</v>
      </c>
      <c r="H105" s="46"/>
      <c r="I105" s="91">
        <v>25</v>
      </c>
      <c r="J105" s="64"/>
      <c r="K105" s="64">
        <f t="shared" si="65"/>
        <v>0</v>
      </c>
      <c r="L105" s="43" t="s">
        <v>245</v>
      </c>
      <c r="M105" s="65" t="str">
        <f>VLOOKUP(L105,{"甲级","1.2";"乙级","1";"丙级","0.8";"物探","0.22"},2,0)</f>
        <v>0.22</v>
      </c>
      <c r="N105" s="64">
        <f t="shared" si="66"/>
        <v>0</v>
      </c>
      <c r="O105" s="64">
        <f t="shared" si="67"/>
        <v>0</v>
      </c>
      <c r="P105" s="69" t="s">
        <v>246</v>
      </c>
      <c r="Q105" s="76"/>
      <c r="R105" s="77">
        <f t="shared" si="61"/>
        <v>0</v>
      </c>
      <c r="S105" s="72">
        <f t="shared" si="48"/>
        <v>0</v>
      </c>
      <c r="T105" s="72">
        <f t="shared" si="49"/>
        <v>25</v>
      </c>
      <c r="U105" s="72">
        <f t="shared" si="50"/>
        <v>0</v>
      </c>
      <c r="V105" s="72" t="str">
        <f t="shared" si="51"/>
        <v>0.22</v>
      </c>
      <c r="W105" s="73">
        <f t="shared" si="52"/>
        <v>0</v>
      </c>
      <c r="X105" s="72"/>
      <c r="Y105" s="82"/>
      <c r="Z105" s="82">
        <f t="shared" si="53"/>
        <v>0</v>
      </c>
      <c r="AA105" s="82">
        <f t="shared" si="54"/>
        <v>25</v>
      </c>
      <c r="AB105" s="82">
        <f t="shared" si="55"/>
        <v>0</v>
      </c>
      <c r="AC105" s="82" t="str">
        <f t="shared" si="56"/>
        <v>0.22</v>
      </c>
      <c r="AD105" s="83">
        <f t="shared" si="57"/>
        <v>0</v>
      </c>
      <c r="AE105" s="82"/>
    </row>
    <row r="106" customHeight="1" spans="1:31">
      <c r="A106" s="47">
        <v>102</v>
      </c>
      <c r="B106" s="43"/>
      <c r="C106" s="53"/>
      <c r="D106" s="53"/>
      <c r="E106" s="87" t="s">
        <v>249</v>
      </c>
      <c r="F106" s="54" t="s">
        <v>250</v>
      </c>
      <c r="G106" s="46" t="s">
        <v>244</v>
      </c>
      <c r="H106" s="46"/>
      <c r="I106" s="91">
        <v>45</v>
      </c>
      <c r="J106" s="64"/>
      <c r="K106" s="64">
        <f t="shared" si="65"/>
        <v>0</v>
      </c>
      <c r="L106" s="43" t="s">
        <v>245</v>
      </c>
      <c r="M106" s="65" t="str">
        <f>VLOOKUP(L106,{"甲级","1.2";"乙级","1";"丙级","0.8";"物探","0.22"},2,0)</f>
        <v>0.22</v>
      </c>
      <c r="N106" s="64">
        <f t="shared" si="66"/>
        <v>0</v>
      </c>
      <c r="O106" s="64">
        <f t="shared" si="67"/>
        <v>0</v>
      </c>
      <c r="P106" s="69" t="s">
        <v>246</v>
      </c>
      <c r="Q106" s="76"/>
      <c r="R106" s="77">
        <f t="shared" si="61"/>
        <v>0</v>
      </c>
      <c r="S106" s="72">
        <f t="shared" si="48"/>
        <v>0</v>
      </c>
      <c r="T106" s="72">
        <f t="shared" si="49"/>
        <v>45</v>
      </c>
      <c r="U106" s="72">
        <f t="shared" si="50"/>
        <v>0</v>
      </c>
      <c r="V106" s="72" t="str">
        <f t="shared" si="51"/>
        <v>0.22</v>
      </c>
      <c r="W106" s="73">
        <f t="shared" si="52"/>
        <v>0</v>
      </c>
      <c r="X106" s="72"/>
      <c r="Y106" s="82"/>
      <c r="Z106" s="82">
        <f t="shared" si="53"/>
        <v>0</v>
      </c>
      <c r="AA106" s="82">
        <f t="shared" si="54"/>
        <v>45</v>
      </c>
      <c r="AB106" s="82">
        <f t="shared" si="55"/>
        <v>0</v>
      </c>
      <c r="AC106" s="82" t="str">
        <f t="shared" si="56"/>
        <v>0.22</v>
      </c>
      <c r="AD106" s="83">
        <f t="shared" si="57"/>
        <v>0</v>
      </c>
      <c r="AE106" s="82"/>
    </row>
    <row r="107" customHeight="1" spans="1:31">
      <c r="A107" s="43">
        <v>103</v>
      </c>
      <c r="B107" s="43"/>
      <c r="C107" s="53"/>
      <c r="D107" s="53"/>
      <c r="E107" s="87"/>
      <c r="F107" s="54" t="s">
        <v>251</v>
      </c>
      <c r="G107" s="46" t="s">
        <v>244</v>
      </c>
      <c r="H107" s="46"/>
      <c r="I107" s="91">
        <v>220</v>
      </c>
      <c r="J107" s="64"/>
      <c r="K107" s="64">
        <f t="shared" si="65"/>
        <v>0</v>
      </c>
      <c r="L107" s="43" t="s">
        <v>245</v>
      </c>
      <c r="M107" s="65" t="str">
        <f>VLOOKUP(L107,{"甲级","1.2";"乙级","1";"丙级","0.8";"物探","0.22"},2,0)</f>
        <v>0.22</v>
      </c>
      <c r="N107" s="64">
        <f t="shared" si="66"/>
        <v>0</v>
      </c>
      <c r="O107" s="64">
        <f t="shared" si="67"/>
        <v>0</v>
      </c>
      <c r="P107" s="69" t="s">
        <v>246</v>
      </c>
      <c r="Q107" s="76"/>
      <c r="R107" s="77">
        <f t="shared" si="61"/>
        <v>0</v>
      </c>
      <c r="S107" s="72">
        <f t="shared" si="48"/>
        <v>0</v>
      </c>
      <c r="T107" s="72">
        <f t="shared" si="49"/>
        <v>220</v>
      </c>
      <c r="U107" s="72">
        <f t="shared" si="50"/>
        <v>0</v>
      </c>
      <c r="V107" s="72" t="str">
        <f t="shared" si="51"/>
        <v>0.22</v>
      </c>
      <c r="W107" s="73">
        <f t="shared" si="52"/>
        <v>0</v>
      </c>
      <c r="X107" s="72"/>
      <c r="Y107" s="82"/>
      <c r="Z107" s="82">
        <f t="shared" si="53"/>
        <v>0</v>
      </c>
      <c r="AA107" s="82">
        <f t="shared" si="54"/>
        <v>220</v>
      </c>
      <c r="AB107" s="82">
        <f t="shared" si="55"/>
        <v>0</v>
      </c>
      <c r="AC107" s="82" t="str">
        <f t="shared" si="56"/>
        <v>0.22</v>
      </c>
      <c r="AD107" s="83">
        <f t="shared" si="57"/>
        <v>0</v>
      </c>
      <c r="AE107" s="82"/>
    </row>
    <row r="108" customHeight="1" spans="1:31">
      <c r="A108" s="47">
        <v>104</v>
      </c>
      <c r="B108" s="43"/>
      <c r="C108" s="53"/>
      <c r="D108" s="53"/>
      <c r="E108" s="87" t="s">
        <v>252</v>
      </c>
      <c r="F108" s="54" t="s">
        <v>250</v>
      </c>
      <c r="G108" s="46" t="s">
        <v>244</v>
      </c>
      <c r="H108" s="46"/>
      <c r="I108" s="91">
        <v>130</v>
      </c>
      <c r="J108" s="64"/>
      <c r="K108" s="64">
        <f t="shared" si="65"/>
        <v>0</v>
      </c>
      <c r="L108" s="43" t="s">
        <v>245</v>
      </c>
      <c r="M108" s="65" t="str">
        <f>VLOOKUP(L108,{"甲级","1.2";"乙级","1";"丙级","0.8";"物探","0.22"},2,0)</f>
        <v>0.22</v>
      </c>
      <c r="N108" s="64">
        <f t="shared" si="66"/>
        <v>0</v>
      </c>
      <c r="O108" s="64">
        <f t="shared" si="67"/>
        <v>0</v>
      </c>
      <c r="P108" s="69" t="s">
        <v>246</v>
      </c>
      <c r="Q108" s="76"/>
      <c r="R108" s="77">
        <f t="shared" si="61"/>
        <v>0</v>
      </c>
      <c r="S108" s="72">
        <f t="shared" si="48"/>
        <v>0</v>
      </c>
      <c r="T108" s="72">
        <f t="shared" si="49"/>
        <v>130</v>
      </c>
      <c r="U108" s="72">
        <f t="shared" si="50"/>
        <v>0</v>
      </c>
      <c r="V108" s="72" t="str">
        <f t="shared" si="51"/>
        <v>0.22</v>
      </c>
      <c r="W108" s="73">
        <f t="shared" si="52"/>
        <v>0</v>
      </c>
      <c r="X108" s="72"/>
      <c r="Y108" s="82"/>
      <c r="Z108" s="82">
        <f t="shared" si="53"/>
        <v>0</v>
      </c>
      <c r="AA108" s="82">
        <f t="shared" si="54"/>
        <v>130</v>
      </c>
      <c r="AB108" s="82">
        <f t="shared" si="55"/>
        <v>0</v>
      </c>
      <c r="AC108" s="82" t="str">
        <f t="shared" si="56"/>
        <v>0.22</v>
      </c>
      <c r="AD108" s="83">
        <f t="shared" si="57"/>
        <v>0</v>
      </c>
      <c r="AE108" s="82"/>
    </row>
    <row r="109" customHeight="1" spans="1:31">
      <c r="A109" s="43">
        <v>105</v>
      </c>
      <c r="B109" s="43"/>
      <c r="C109" s="53"/>
      <c r="D109" s="53"/>
      <c r="E109" s="87"/>
      <c r="F109" s="54" t="s">
        <v>251</v>
      </c>
      <c r="G109" s="46" t="s">
        <v>244</v>
      </c>
      <c r="H109" s="46"/>
      <c r="I109" s="91">
        <v>260</v>
      </c>
      <c r="J109" s="64"/>
      <c r="K109" s="64">
        <f t="shared" si="65"/>
        <v>0</v>
      </c>
      <c r="L109" s="43" t="s">
        <v>245</v>
      </c>
      <c r="M109" s="65" t="str">
        <f>VLOOKUP(L109,{"甲级","1.2";"乙级","1";"丙级","0.8";"物探","0.22"},2,0)</f>
        <v>0.22</v>
      </c>
      <c r="N109" s="64">
        <f t="shared" si="66"/>
        <v>0</v>
      </c>
      <c r="O109" s="64">
        <f t="shared" si="67"/>
        <v>0</v>
      </c>
      <c r="P109" s="69" t="s">
        <v>246</v>
      </c>
      <c r="Q109" s="76"/>
      <c r="R109" s="77">
        <f t="shared" si="61"/>
        <v>0</v>
      </c>
      <c r="S109" s="72">
        <f t="shared" si="48"/>
        <v>0</v>
      </c>
      <c r="T109" s="72">
        <f t="shared" si="49"/>
        <v>260</v>
      </c>
      <c r="U109" s="72">
        <f t="shared" si="50"/>
        <v>0</v>
      </c>
      <c r="V109" s="72" t="str">
        <f t="shared" si="51"/>
        <v>0.22</v>
      </c>
      <c r="W109" s="73">
        <f t="shared" si="52"/>
        <v>0</v>
      </c>
      <c r="X109" s="72"/>
      <c r="Y109" s="82"/>
      <c r="Z109" s="82">
        <f t="shared" si="53"/>
        <v>0</v>
      </c>
      <c r="AA109" s="82">
        <f t="shared" si="54"/>
        <v>260</v>
      </c>
      <c r="AB109" s="82">
        <f t="shared" si="55"/>
        <v>0</v>
      </c>
      <c r="AC109" s="82" t="str">
        <f t="shared" si="56"/>
        <v>0.22</v>
      </c>
      <c r="AD109" s="83">
        <f t="shared" si="57"/>
        <v>0</v>
      </c>
      <c r="AE109" s="82"/>
    </row>
    <row r="110" customHeight="1" spans="1:31">
      <c r="A110" s="47">
        <v>106</v>
      </c>
      <c r="B110" s="43"/>
      <c r="C110" s="53" t="s">
        <v>253</v>
      </c>
      <c r="D110" s="87" t="s">
        <v>254</v>
      </c>
      <c r="E110" s="54" t="s">
        <v>146</v>
      </c>
      <c r="F110" s="54"/>
      <c r="G110" s="46" t="s">
        <v>70</v>
      </c>
      <c r="H110" s="46"/>
      <c r="I110" s="91">
        <v>1800</v>
      </c>
      <c r="J110" s="64"/>
      <c r="K110" s="64">
        <f t="shared" si="65"/>
        <v>0</v>
      </c>
      <c r="L110" s="43" t="s">
        <v>245</v>
      </c>
      <c r="M110" s="65" t="str">
        <f>VLOOKUP(L110,{"甲级","1.2";"乙级","1";"丙级","0.8";"物探","0.22"},2,0)</f>
        <v>0.22</v>
      </c>
      <c r="N110" s="64">
        <f t="shared" si="66"/>
        <v>0</v>
      </c>
      <c r="O110" s="64">
        <f t="shared" si="67"/>
        <v>0</v>
      </c>
      <c r="P110" s="69" t="s">
        <v>246</v>
      </c>
      <c r="Q110" s="76"/>
      <c r="R110" s="77">
        <f t="shared" si="61"/>
        <v>0</v>
      </c>
      <c r="S110" s="72">
        <f t="shared" si="48"/>
        <v>0</v>
      </c>
      <c r="T110" s="72">
        <f t="shared" si="49"/>
        <v>1800</v>
      </c>
      <c r="U110" s="72">
        <f t="shared" si="50"/>
        <v>0</v>
      </c>
      <c r="V110" s="72" t="str">
        <f t="shared" si="51"/>
        <v>0.22</v>
      </c>
      <c r="W110" s="73">
        <f t="shared" si="52"/>
        <v>0</v>
      </c>
      <c r="X110" s="72"/>
      <c r="Y110" s="82"/>
      <c r="Z110" s="82">
        <f t="shared" si="53"/>
        <v>0</v>
      </c>
      <c r="AA110" s="82">
        <f t="shared" si="54"/>
        <v>1800</v>
      </c>
      <c r="AB110" s="82">
        <f t="shared" si="55"/>
        <v>0</v>
      </c>
      <c r="AC110" s="82" t="str">
        <f t="shared" si="56"/>
        <v>0.22</v>
      </c>
      <c r="AD110" s="83">
        <f t="shared" si="57"/>
        <v>0</v>
      </c>
      <c r="AE110" s="82"/>
    </row>
    <row r="111" customHeight="1" spans="1:31">
      <c r="A111" s="43">
        <v>107</v>
      </c>
      <c r="B111" s="43"/>
      <c r="C111" s="53"/>
      <c r="D111" s="53"/>
      <c r="E111" s="54" t="s">
        <v>151</v>
      </c>
      <c r="F111" s="54"/>
      <c r="G111" s="46" t="s">
        <v>70</v>
      </c>
      <c r="H111" s="46"/>
      <c r="I111" s="91">
        <v>2520</v>
      </c>
      <c r="J111" s="64"/>
      <c r="K111" s="64">
        <f t="shared" si="65"/>
        <v>0</v>
      </c>
      <c r="L111" s="43" t="s">
        <v>245</v>
      </c>
      <c r="M111" s="65" t="str">
        <f>VLOOKUP(L111,{"甲级","1.2";"乙级","1";"丙级","0.8";"物探","0.22"},2,0)</f>
        <v>0.22</v>
      </c>
      <c r="N111" s="64">
        <f t="shared" si="66"/>
        <v>0</v>
      </c>
      <c r="O111" s="64">
        <f t="shared" si="67"/>
        <v>0</v>
      </c>
      <c r="P111" s="69" t="s">
        <v>246</v>
      </c>
      <c r="Q111" s="76"/>
      <c r="R111" s="77">
        <f t="shared" si="61"/>
        <v>0</v>
      </c>
      <c r="S111" s="72">
        <f t="shared" si="48"/>
        <v>0</v>
      </c>
      <c r="T111" s="72">
        <f t="shared" si="49"/>
        <v>2520</v>
      </c>
      <c r="U111" s="72">
        <f t="shared" si="50"/>
        <v>0</v>
      </c>
      <c r="V111" s="72" t="str">
        <f t="shared" si="51"/>
        <v>0.22</v>
      </c>
      <c r="W111" s="73">
        <f t="shared" si="52"/>
        <v>0</v>
      </c>
      <c r="X111" s="72"/>
      <c r="Y111" s="82"/>
      <c r="Z111" s="82">
        <f t="shared" si="53"/>
        <v>0</v>
      </c>
      <c r="AA111" s="82">
        <f t="shared" si="54"/>
        <v>2520</v>
      </c>
      <c r="AB111" s="82">
        <f t="shared" si="55"/>
        <v>0</v>
      </c>
      <c r="AC111" s="82" t="str">
        <f t="shared" si="56"/>
        <v>0.22</v>
      </c>
      <c r="AD111" s="83">
        <f t="shared" si="57"/>
        <v>0</v>
      </c>
      <c r="AE111" s="82"/>
    </row>
    <row r="112" customHeight="1" spans="1:31">
      <c r="A112" s="47">
        <v>108</v>
      </c>
      <c r="B112" s="43"/>
      <c r="C112" s="53"/>
      <c r="D112" s="53"/>
      <c r="E112" s="54" t="s">
        <v>152</v>
      </c>
      <c r="F112" s="54"/>
      <c r="G112" s="46" t="s">
        <v>70</v>
      </c>
      <c r="H112" s="46"/>
      <c r="I112" s="91">
        <v>3240</v>
      </c>
      <c r="J112" s="64"/>
      <c r="K112" s="64">
        <f t="shared" si="65"/>
        <v>0</v>
      </c>
      <c r="L112" s="43" t="s">
        <v>245</v>
      </c>
      <c r="M112" s="65" t="str">
        <f>VLOOKUP(L112,{"甲级","1.2";"乙级","1";"丙级","0.8";"物探","0.22"},2,0)</f>
        <v>0.22</v>
      </c>
      <c r="N112" s="64">
        <f t="shared" si="66"/>
        <v>0</v>
      </c>
      <c r="O112" s="64">
        <f t="shared" si="67"/>
        <v>0</v>
      </c>
      <c r="P112" s="69" t="s">
        <v>246</v>
      </c>
      <c r="Q112" s="76"/>
      <c r="R112" s="77">
        <f t="shared" si="61"/>
        <v>0</v>
      </c>
      <c r="S112" s="72">
        <f t="shared" si="48"/>
        <v>0</v>
      </c>
      <c r="T112" s="72">
        <f t="shared" si="49"/>
        <v>3240</v>
      </c>
      <c r="U112" s="72">
        <f t="shared" si="50"/>
        <v>0</v>
      </c>
      <c r="V112" s="72" t="str">
        <f t="shared" si="51"/>
        <v>0.22</v>
      </c>
      <c r="W112" s="73">
        <f t="shared" si="52"/>
        <v>0</v>
      </c>
      <c r="X112" s="72"/>
      <c r="Y112" s="82"/>
      <c r="Z112" s="82">
        <f t="shared" si="53"/>
        <v>0</v>
      </c>
      <c r="AA112" s="82">
        <f t="shared" si="54"/>
        <v>3240</v>
      </c>
      <c r="AB112" s="82">
        <f t="shared" si="55"/>
        <v>0</v>
      </c>
      <c r="AC112" s="82" t="str">
        <f t="shared" si="56"/>
        <v>0.22</v>
      </c>
      <c r="AD112" s="83">
        <f t="shared" si="57"/>
        <v>0</v>
      </c>
      <c r="AE112" s="82"/>
    </row>
    <row r="113" customHeight="1" spans="1:31">
      <c r="A113" s="43">
        <v>109</v>
      </c>
      <c r="B113" s="43"/>
      <c r="C113" s="53"/>
      <c r="D113" s="53"/>
      <c r="E113" s="54" t="s">
        <v>255</v>
      </c>
      <c r="F113" s="54"/>
      <c r="G113" s="46" t="s">
        <v>70</v>
      </c>
      <c r="H113" s="46"/>
      <c r="I113" s="91">
        <v>4320</v>
      </c>
      <c r="J113" s="64"/>
      <c r="K113" s="64">
        <f t="shared" si="65"/>
        <v>0</v>
      </c>
      <c r="L113" s="43" t="s">
        <v>245</v>
      </c>
      <c r="M113" s="65" t="str">
        <f>VLOOKUP(L113,{"甲级","1.2";"乙级","1";"丙级","0.8";"物探","0.22"},2,0)</f>
        <v>0.22</v>
      </c>
      <c r="N113" s="64">
        <f t="shared" si="66"/>
        <v>0</v>
      </c>
      <c r="O113" s="64">
        <f t="shared" si="67"/>
        <v>0</v>
      </c>
      <c r="P113" s="69" t="s">
        <v>246</v>
      </c>
      <c r="Q113" s="76"/>
      <c r="R113" s="77">
        <f t="shared" si="61"/>
        <v>0</v>
      </c>
      <c r="S113" s="72">
        <f t="shared" si="48"/>
        <v>0</v>
      </c>
      <c r="T113" s="72">
        <f t="shared" si="49"/>
        <v>4320</v>
      </c>
      <c r="U113" s="72">
        <f t="shared" si="50"/>
        <v>0</v>
      </c>
      <c r="V113" s="72" t="str">
        <f t="shared" si="51"/>
        <v>0.22</v>
      </c>
      <c r="W113" s="73">
        <f t="shared" si="52"/>
        <v>0</v>
      </c>
      <c r="X113" s="72"/>
      <c r="Y113" s="82"/>
      <c r="Z113" s="82">
        <f t="shared" si="53"/>
        <v>0</v>
      </c>
      <c r="AA113" s="82">
        <f t="shared" si="54"/>
        <v>4320</v>
      </c>
      <c r="AB113" s="82">
        <f t="shared" si="55"/>
        <v>0</v>
      </c>
      <c r="AC113" s="82" t="str">
        <f t="shared" si="56"/>
        <v>0.22</v>
      </c>
      <c r="AD113" s="83">
        <f t="shared" si="57"/>
        <v>0</v>
      </c>
      <c r="AE113" s="82"/>
    </row>
    <row r="114" customHeight="1" spans="1:31">
      <c r="A114" s="47">
        <v>110</v>
      </c>
      <c r="B114" s="43"/>
      <c r="C114" s="53"/>
      <c r="D114" s="53"/>
      <c r="E114" s="54" t="s">
        <v>203</v>
      </c>
      <c r="F114" s="54"/>
      <c r="G114" s="46" t="s">
        <v>70</v>
      </c>
      <c r="H114" s="46"/>
      <c r="I114" s="91">
        <v>5760</v>
      </c>
      <c r="J114" s="64"/>
      <c r="K114" s="64">
        <f t="shared" si="65"/>
        <v>0</v>
      </c>
      <c r="L114" s="43" t="s">
        <v>245</v>
      </c>
      <c r="M114" s="65" t="str">
        <f>VLOOKUP(L114,{"甲级","1.2";"乙级","1";"丙级","0.8";"物探","0.22"},2,0)</f>
        <v>0.22</v>
      </c>
      <c r="N114" s="64">
        <f t="shared" si="66"/>
        <v>0</v>
      </c>
      <c r="O114" s="64">
        <f t="shared" si="67"/>
        <v>0</v>
      </c>
      <c r="P114" s="69" t="s">
        <v>246</v>
      </c>
      <c r="Q114" s="76"/>
      <c r="R114" s="77">
        <f t="shared" si="61"/>
        <v>0</v>
      </c>
      <c r="S114" s="72">
        <f t="shared" si="48"/>
        <v>0</v>
      </c>
      <c r="T114" s="72">
        <f t="shared" si="49"/>
        <v>5760</v>
      </c>
      <c r="U114" s="72">
        <f t="shared" si="50"/>
        <v>0</v>
      </c>
      <c r="V114" s="72" t="str">
        <f t="shared" si="51"/>
        <v>0.22</v>
      </c>
      <c r="W114" s="73">
        <f t="shared" si="52"/>
        <v>0</v>
      </c>
      <c r="X114" s="72"/>
      <c r="Y114" s="82"/>
      <c r="Z114" s="82">
        <f t="shared" si="53"/>
        <v>0</v>
      </c>
      <c r="AA114" s="82">
        <f t="shared" si="54"/>
        <v>5760</v>
      </c>
      <c r="AB114" s="82">
        <f t="shared" si="55"/>
        <v>0</v>
      </c>
      <c r="AC114" s="82" t="str">
        <f t="shared" si="56"/>
        <v>0.22</v>
      </c>
      <c r="AD114" s="83">
        <f t="shared" si="57"/>
        <v>0</v>
      </c>
      <c r="AE114" s="82"/>
    </row>
    <row r="115" customHeight="1" spans="1:31">
      <c r="A115" s="43">
        <v>111</v>
      </c>
      <c r="B115" s="43"/>
      <c r="C115" s="53" t="s">
        <v>256</v>
      </c>
      <c r="D115" s="53" t="s">
        <v>257</v>
      </c>
      <c r="E115" s="54" t="s">
        <v>258</v>
      </c>
      <c r="F115" s="54" t="s">
        <v>259</v>
      </c>
      <c r="G115" s="46" t="s">
        <v>70</v>
      </c>
      <c r="H115" s="46"/>
      <c r="I115" s="91">
        <v>30</v>
      </c>
      <c r="J115" s="64"/>
      <c r="K115" s="64">
        <f t="shared" si="65"/>
        <v>0</v>
      </c>
      <c r="L115" s="43" t="s">
        <v>245</v>
      </c>
      <c r="M115" s="65" t="str">
        <f>VLOOKUP(L115,{"甲级","1.2";"乙级","1";"丙级","0.8";"物探","0.22"},2,0)</f>
        <v>0.22</v>
      </c>
      <c r="N115" s="64">
        <f t="shared" si="66"/>
        <v>0</v>
      </c>
      <c r="O115" s="64">
        <f t="shared" si="67"/>
        <v>0</v>
      </c>
      <c r="P115" s="69" t="s">
        <v>246</v>
      </c>
      <c r="Q115" s="76"/>
      <c r="R115" s="77">
        <f t="shared" si="61"/>
        <v>0</v>
      </c>
      <c r="S115" s="72">
        <f t="shared" si="48"/>
        <v>0</v>
      </c>
      <c r="T115" s="72">
        <f t="shared" si="49"/>
        <v>30</v>
      </c>
      <c r="U115" s="72">
        <f t="shared" si="50"/>
        <v>0</v>
      </c>
      <c r="V115" s="72" t="str">
        <f t="shared" si="51"/>
        <v>0.22</v>
      </c>
      <c r="W115" s="73">
        <f t="shared" si="52"/>
        <v>0</v>
      </c>
      <c r="X115" s="72"/>
      <c r="Y115" s="82"/>
      <c r="Z115" s="82">
        <f t="shared" si="53"/>
        <v>0</v>
      </c>
      <c r="AA115" s="82">
        <f t="shared" si="54"/>
        <v>30</v>
      </c>
      <c r="AB115" s="82">
        <f t="shared" si="55"/>
        <v>0</v>
      </c>
      <c r="AC115" s="82" t="str">
        <f t="shared" si="56"/>
        <v>0.22</v>
      </c>
      <c r="AD115" s="83">
        <f t="shared" si="57"/>
        <v>0</v>
      </c>
      <c r="AE115" s="82"/>
    </row>
    <row r="116" customHeight="1" spans="1:31">
      <c r="A116" s="47">
        <v>112</v>
      </c>
      <c r="B116" s="43"/>
      <c r="C116" s="53"/>
      <c r="D116" s="53"/>
      <c r="E116" s="54" t="s">
        <v>260</v>
      </c>
      <c r="F116" s="54" t="s">
        <v>259</v>
      </c>
      <c r="G116" s="46" t="s">
        <v>70</v>
      </c>
      <c r="H116" s="46"/>
      <c r="I116" s="91">
        <v>40</v>
      </c>
      <c r="J116" s="64"/>
      <c r="K116" s="64">
        <f t="shared" si="65"/>
        <v>0</v>
      </c>
      <c r="L116" s="43" t="s">
        <v>245</v>
      </c>
      <c r="M116" s="65" t="str">
        <f>VLOOKUP(L116,{"甲级","1.2";"乙级","1";"丙级","0.8";"物探","0.22"},2,0)</f>
        <v>0.22</v>
      </c>
      <c r="N116" s="64">
        <f t="shared" si="66"/>
        <v>0</v>
      </c>
      <c r="O116" s="64">
        <f t="shared" si="67"/>
        <v>0</v>
      </c>
      <c r="P116" s="69" t="s">
        <v>246</v>
      </c>
      <c r="Q116" s="76"/>
      <c r="R116" s="77">
        <f t="shared" si="61"/>
        <v>0</v>
      </c>
      <c r="S116" s="72">
        <f t="shared" si="48"/>
        <v>0</v>
      </c>
      <c r="T116" s="72">
        <f t="shared" si="49"/>
        <v>40</v>
      </c>
      <c r="U116" s="72">
        <f t="shared" si="50"/>
        <v>0</v>
      </c>
      <c r="V116" s="72" t="str">
        <f t="shared" si="51"/>
        <v>0.22</v>
      </c>
      <c r="W116" s="73">
        <f t="shared" si="52"/>
        <v>0</v>
      </c>
      <c r="X116" s="72"/>
      <c r="Y116" s="82"/>
      <c r="Z116" s="82">
        <f t="shared" si="53"/>
        <v>0</v>
      </c>
      <c r="AA116" s="82">
        <f t="shared" si="54"/>
        <v>40</v>
      </c>
      <c r="AB116" s="82">
        <f t="shared" si="55"/>
        <v>0</v>
      </c>
      <c r="AC116" s="82" t="str">
        <f t="shared" si="56"/>
        <v>0.22</v>
      </c>
      <c r="AD116" s="83">
        <f t="shared" si="57"/>
        <v>0</v>
      </c>
      <c r="AE116" s="82"/>
    </row>
    <row r="117" customHeight="1" spans="1:31">
      <c r="A117" s="43">
        <v>113</v>
      </c>
      <c r="B117" s="43"/>
      <c r="C117" s="53"/>
      <c r="D117" s="53"/>
      <c r="E117" s="54" t="s">
        <v>261</v>
      </c>
      <c r="F117" s="54" t="s">
        <v>259</v>
      </c>
      <c r="G117" s="46" t="s">
        <v>70</v>
      </c>
      <c r="H117" s="46"/>
      <c r="I117" s="91">
        <v>50</v>
      </c>
      <c r="J117" s="64"/>
      <c r="K117" s="64">
        <f t="shared" si="65"/>
        <v>0</v>
      </c>
      <c r="L117" s="43" t="s">
        <v>245</v>
      </c>
      <c r="M117" s="65" t="str">
        <f>VLOOKUP(L117,{"甲级","1.2";"乙级","1";"丙级","0.8";"物探","0.22"},2,0)</f>
        <v>0.22</v>
      </c>
      <c r="N117" s="64">
        <f t="shared" si="66"/>
        <v>0</v>
      </c>
      <c r="O117" s="64">
        <f t="shared" si="67"/>
        <v>0</v>
      </c>
      <c r="P117" s="69" t="s">
        <v>246</v>
      </c>
      <c r="Q117" s="76"/>
      <c r="R117" s="77">
        <f t="shared" si="61"/>
        <v>0</v>
      </c>
      <c r="S117" s="72">
        <f t="shared" si="48"/>
        <v>0</v>
      </c>
      <c r="T117" s="72">
        <f t="shared" si="49"/>
        <v>50</v>
      </c>
      <c r="U117" s="72">
        <f t="shared" si="50"/>
        <v>0</v>
      </c>
      <c r="V117" s="72" t="str">
        <f t="shared" si="51"/>
        <v>0.22</v>
      </c>
      <c r="W117" s="73">
        <f t="shared" si="52"/>
        <v>0</v>
      </c>
      <c r="X117" s="72"/>
      <c r="Y117" s="82"/>
      <c r="Z117" s="82">
        <f t="shared" si="53"/>
        <v>0</v>
      </c>
      <c r="AA117" s="82">
        <f t="shared" si="54"/>
        <v>50</v>
      </c>
      <c r="AB117" s="82">
        <f t="shared" si="55"/>
        <v>0</v>
      </c>
      <c r="AC117" s="82" t="str">
        <f t="shared" si="56"/>
        <v>0.22</v>
      </c>
      <c r="AD117" s="83">
        <f t="shared" si="57"/>
        <v>0</v>
      </c>
      <c r="AE117" s="82"/>
    </row>
    <row r="118" customHeight="1" spans="1:31">
      <c r="A118" s="47">
        <v>114</v>
      </c>
      <c r="B118" s="43"/>
      <c r="C118" s="53"/>
      <c r="D118" s="53"/>
      <c r="E118" s="54" t="s">
        <v>262</v>
      </c>
      <c r="F118" s="54" t="s">
        <v>259</v>
      </c>
      <c r="G118" s="46" t="s">
        <v>70</v>
      </c>
      <c r="H118" s="46"/>
      <c r="I118" s="91">
        <v>60</v>
      </c>
      <c r="J118" s="64"/>
      <c r="K118" s="64">
        <f t="shared" si="65"/>
        <v>0</v>
      </c>
      <c r="L118" s="43" t="s">
        <v>245</v>
      </c>
      <c r="M118" s="65" t="str">
        <f>VLOOKUP(L118,{"甲级","1.2";"乙级","1";"丙级","0.8";"物探","0.22"},2,0)</f>
        <v>0.22</v>
      </c>
      <c r="N118" s="64">
        <f t="shared" si="66"/>
        <v>0</v>
      </c>
      <c r="O118" s="64">
        <f t="shared" si="67"/>
        <v>0</v>
      </c>
      <c r="P118" s="69" t="s">
        <v>246</v>
      </c>
      <c r="Q118" s="76"/>
      <c r="R118" s="77">
        <f t="shared" si="61"/>
        <v>0</v>
      </c>
      <c r="S118" s="72">
        <f t="shared" si="48"/>
        <v>0</v>
      </c>
      <c r="T118" s="72">
        <f t="shared" si="49"/>
        <v>60</v>
      </c>
      <c r="U118" s="72">
        <f t="shared" si="50"/>
        <v>0</v>
      </c>
      <c r="V118" s="72" t="str">
        <f t="shared" si="51"/>
        <v>0.22</v>
      </c>
      <c r="W118" s="73">
        <f t="shared" si="52"/>
        <v>0</v>
      </c>
      <c r="X118" s="72"/>
      <c r="Y118" s="82"/>
      <c r="Z118" s="82">
        <f t="shared" si="53"/>
        <v>0</v>
      </c>
      <c r="AA118" s="82">
        <f t="shared" si="54"/>
        <v>60</v>
      </c>
      <c r="AB118" s="82">
        <f t="shared" si="55"/>
        <v>0</v>
      </c>
      <c r="AC118" s="82" t="str">
        <f t="shared" si="56"/>
        <v>0.22</v>
      </c>
      <c r="AD118" s="83">
        <f t="shared" si="57"/>
        <v>0</v>
      </c>
      <c r="AE118" s="82"/>
    </row>
    <row r="119" customHeight="1" spans="1:31">
      <c r="A119" s="43">
        <v>115</v>
      </c>
      <c r="B119" s="43"/>
      <c r="C119" s="43" t="s">
        <v>263</v>
      </c>
      <c r="D119" s="53" t="s">
        <v>264</v>
      </c>
      <c r="E119" s="54" t="s">
        <v>265</v>
      </c>
      <c r="F119" s="43"/>
      <c r="G119" s="46" t="s">
        <v>70</v>
      </c>
      <c r="H119" s="46"/>
      <c r="I119" s="63">
        <v>12</v>
      </c>
      <c r="J119" s="64"/>
      <c r="K119" s="64">
        <f t="shared" si="65"/>
        <v>0</v>
      </c>
      <c r="L119" s="43" t="s">
        <v>245</v>
      </c>
      <c r="M119" s="65" t="str">
        <f>VLOOKUP(L119,{"甲级","1.2";"乙级","1";"丙级","0.8";"物探","0.22"},2,0)</f>
        <v>0.22</v>
      </c>
      <c r="N119" s="64">
        <f t="shared" si="66"/>
        <v>0</v>
      </c>
      <c r="O119" s="64">
        <f t="shared" si="67"/>
        <v>0</v>
      </c>
      <c r="P119" s="69" t="s">
        <v>246</v>
      </c>
      <c r="Q119" s="76"/>
      <c r="R119" s="77">
        <f t="shared" si="61"/>
        <v>0</v>
      </c>
      <c r="S119" s="72">
        <f t="shared" si="48"/>
        <v>0</v>
      </c>
      <c r="T119" s="72">
        <f t="shared" si="49"/>
        <v>12</v>
      </c>
      <c r="U119" s="72">
        <f t="shared" si="50"/>
        <v>0</v>
      </c>
      <c r="V119" s="72" t="str">
        <f t="shared" si="51"/>
        <v>0.22</v>
      </c>
      <c r="W119" s="73">
        <f t="shared" si="52"/>
        <v>0</v>
      </c>
      <c r="X119" s="72"/>
      <c r="Y119" s="82"/>
      <c r="Z119" s="82">
        <f t="shared" si="53"/>
        <v>0</v>
      </c>
      <c r="AA119" s="82">
        <f t="shared" si="54"/>
        <v>12</v>
      </c>
      <c r="AB119" s="82">
        <f t="shared" si="55"/>
        <v>0</v>
      </c>
      <c r="AC119" s="82" t="str">
        <f t="shared" si="56"/>
        <v>0.22</v>
      </c>
      <c r="AD119" s="83">
        <f t="shared" si="57"/>
        <v>0</v>
      </c>
      <c r="AE119" s="82"/>
    </row>
    <row r="120" customHeight="1" spans="1:31">
      <c r="A120" s="47">
        <v>116</v>
      </c>
      <c r="B120" s="43"/>
      <c r="C120" s="43"/>
      <c r="D120" s="53"/>
      <c r="E120" s="54" t="s">
        <v>266</v>
      </c>
      <c r="F120" s="43"/>
      <c r="G120" s="46" t="s">
        <v>70</v>
      </c>
      <c r="H120" s="46"/>
      <c r="I120" s="63">
        <v>16</v>
      </c>
      <c r="J120" s="64"/>
      <c r="K120" s="64">
        <f t="shared" si="65"/>
        <v>0</v>
      </c>
      <c r="L120" s="43" t="s">
        <v>245</v>
      </c>
      <c r="M120" s="65" t="str">
        <f>VLOOKUP(L120,{"甲级","1.2";"乙级","1";"丙级","0.8";"物探","0.22"},2,0)</f>
        <v>0.22</v>
      </c>
      <c r="N120" s="64">
        <f t="shared" si="66"/>
        <v>0</v>
      </c>
      <c r="O120" s="64">
        <f t="shared" si="67"/>
        <v>0</v>
      </c>
      <c r="P120" s="69" t="s">
        <v>246</v>
      </c>
      <c r="Q120" s="76"/>
      <c r="R120" s="77">
        <f t="shared" si="61"/>
        <v>0</v>
      </c>
      <c r="S120" s="72">
        <f t="shared" si="48"/>
        <v>0</v>
      </c>
      <c r="T120" s="72">
        <f t="shared" si="49"/>
        <v>16</v>
      </c>
      <c r="U120" s="72">
        <f t="shared" si="50"/>
        <v>0</v>
      </c>
      <c r="V120" s="72" t="str">
        <f t="shared" si="51"/>
        <v>0.22</v>
      </c>
      <c r="W120" s="73">
        <f t="shared" si="52"/>
        <v>0</v>
      </c>
      <c r="X120" s="72"/>
      <c r="Y120" s="82"/>
      <c r="Z120" s="82">
        <f t="shared" si="53"/>
        <v>0</v>
      </c>
      <c r="AA120" s="82">
        <f t="shared" si="54"/>
        <v>16</v>
      </c>
      <c r="AB120" s="82">
        <f t="shared" si="55"/>
        <v>0</v>
      </c>
      <c r="AC120" s="82" t="str">
        <f t="shared" si="56"/>
        <v>0.22</v>
      </c>
      <c r="AD120" s="83">
        <f t="shared" si="57"/>
        <v>0</v>
      </c>
      <c r="AE120" s="82"/>
    </row>
    <row r="121" customHeight="1" spans="1:31">
      <c r="A121" s="43">
        <v>117</v>
      </c>
      <c r="B121" s="43"/>
      <c r="C121" s="43"/>
      <c r="D121" s="53"/>
      <c r="E121" s="54" t="s">
        <v>267</v>
      </c>
      <c r="F121" s="43"/>
      <c r="G121" s="46" t="s">
        <v>70</v>
      </c>
      <c r="H121" s="46"/>
      <c r="I121" s="63">
        <v>18</v>
      </c>
      <c r="J121" s="64"/>
      <c r="K121" s="64">
        <f t="shared" si="65"/>
        <v>0</v>
      </c>
      <c r="L121" s="43" t="s">
        <v>245</v>
      </c>
      <c r="M121" s="65" t="str">
        <f>VLOOKUP(L121,{"甲级","1.2";"乙级","1";"丙级","0.8";"物探","0.22"},2,0)</f>
        <v>0.22</v>
      </c>
      <c r="N121" s="64">
        <f t="shared" si="66"/>
        <v>0</v>
      </c>
      <c r="O121" s="64">
        <f t="shared" si="67"/>
        <v>0</v>
      </c>
      <c r="P121" s="69" t="s">
        <v>246</v>
      </c>
      <c r="Q121" s="76"/>
      <c r="R121" s="77">
        <f t="shared" si="61"/>
        <v>0</v>
      </c>
      <c r="S121" s="72">
        <f t="shared" si="48"/>
        <v>0</v>
      </c>
      <c r="T121" s="72">
        <f t="shared" si="49"/>
        <v>18</v>
      </c>
      <c r="U121" s="72">
        <f t="shared" si="50"/>
        <v>0</v>
      </c>
      <c r="V121" s="72" t="str">
        <f t="shared" si="51"/>
        <v>0.22</v>
      </c>
      <c r="W121" s="73">
        <f t="shared" si="52"/>
        <v>0</v>
      </c>
      <c r="X121" s="72"/>
      <c r="Y121" s="82"/>
      <c r="Z121" s="82">
        <f t="shared" si="53"/>
        <v>0</v>
      </c>
      <c r="AA121" s="82">
        <f t="shared" si="54"/>
        <v>18</v>
      </c>
      <c r="AB121" s="82">
        <f t="shared" si="55"/>
        <v>0</v>
      </c>
      <c r="AC121" s="82" t="str">
        <f t="shared" si="56"/>
        <v>0.22</v>
      </c>
      <c r="AD121" s="83">
        <f t="shared" si="57"/>
        <v>0</v>
      </c>
      <c r="AE121" s="82"/>
    </row>
    <row r="122" customHeight="1" spans="1:31">
      <c r="A122" s="47">
        <v>118</v>
      </c>
      <c r="B122" s="43"/>
      <c r="C122" s="43"/>
      <c r="D122" s="53"/>
      <c r="E122" s="54" t="s">
        <v>268</v>
      </c>
      <c r="F122" s="43"/>
      <c r="G122" s="46" t="s">
        <v>70</v>
      </c>
      <c r="H122" s="46"/>
      <c r="I122" s="63">
        <v>28</v>
      </c>
      <c r="J122" s="64"/>
      <c r="K122" s="64">
        <f t="shared" si="65"/>
        <v>0</v>
      </c>
      <c r="L122" s="43" t="s">
        <v>245</v>
      </c>
      <c r="M122" s="65" t="str">
        <f>VLOOKUP(L122,{"甲级","1.2";"乙级","1";"丙级","0.8";"物探","0.22"},2,0)</f>
        <v>0.22</v>
      </c>
      <c r="N122" s="64">
        <f t="shared" si="66"/>
        <v>0</v>
      </c>
      <c r="O122" s="64">
        <f t="shared" si="67"/>
        <v>0</v>
      </c>
      <c r="P122" s="69" t="s">
        <v>246</v>
      </c>
      <c r="Q122" s="76"/>
      <c r="R122" s="77">
        <f t="shared" si="61"/>
        <v>0</v>
      </c>
      <c r="S122" s="72">
        <f t="shared" si="48"/>
        <v>0</v>
      </c>
      <c r="T122" s="72">
        <f t="shared" si="49"/>
        <v>28</v>
      </c>
      <c r="U122" s="72">
        <f t="shared" si="50"/>
        <v>0</v>
      </c>
      <c r="V122" s="72" t="str">
        <f t="shared" si="51"/>
        <v>0.22</v>
      </c>
      <c r="W122" s="73">
        <f t="shared" si="52"/>
        <v>0</v>
      </c>
      <c r="X122" s="72"/>
      <c r="Y122" s="82"/>
      <c r="Z122" s="82">
        <f t="shared" si="53"/>
        <v>0</v>
      </c>
      <c r="AA122" s="82">
        <f t="shared" si="54"/>
        <v>28</v>
      </c>
      <c r="AB122" s="82">
        <f t="shared" si="55"/>
        <v>0</v>
      </c>
      <c r="AC122" s="82" t="str">
        <f t="shared" si="56"/>
        <v>0.22</v>
      </c>
      <c r="AD122" s="83">
        <f t="shared" si="57"/>
        <v>0</v>
      </c>
      <c r="AE122" s="82"/>
    </row>
    <row r="123" customHeight="1" spans="1:31">
      <c r="A123" s="47">
        <v>120</v>
      </c>
      <c r="B123" s="43"/>
      <c r="C123" s="43" t="s">
        <v>269</v>
      </c>
      <c r="D123" s="87" t="s">
        <v>270</v>
      </c>
      <c r="E123" s="54" t="s">
        <v>271</v>
      </c>
      <c r="F123" s="43"/>
      <c r="G123" s="46" t="s">
        <v>70</v>
      </c>
      <c r="H123" s="46"/>
      <c r="I123" s="91">
        <v>2160</v>
      </c>
      <c r="J123" s="64"/>
      <c r="K123" s="64">
        <f t="shared" ref="K123:K151" si="68">I123*H123*J123</f>
        <v>0</v>
      </c>
      <c r="L123" s="43" t="s">
        <v>245</v>
      </c>
      <c r="M123" s="65" t="str">
        <f>VLOOKUP(L123,{"甲级","1.2";"乙级","1";"丙级","0.8";"物探","0.22"},2,0)</f>
        <v>0.22</v>
      </c>
      <c r="N123" s="64">
        <f t="shared" ref="N123:N151" si="69">K123*M123</f>
        <v>0</v>
      </c>
      <c r="O123" s="64">
        <f t="shared" ref="O123:O151" si="70">K123+N123</f>
        <v>0</v>
      </c>
      <c r="P123" s="69" t="s">
        <v>246</v>
      </c>
      <c r="Q123" s="76"/>
      <c r="R123" s="77">
        <f t="shared" ref="R123:R145" si="71">S123-H123</f>
        <v>0</v>
      </c>
      <c r="S123" s="72">
        <f t="shared" si="48"/>
        <v>0</v>
      </c>
      <c r="T123" s="72">
        <f t="shared" si="49"/>
        <v>2160</v>
      </c>
      <c r="U123" s="72">
        <f t="shared" si="50"/>
        <v>0</v>
      </c>
      <c r="V123" s="72" t="str">
        <f t="shared" si="51"/>
        <v>0.22</v>
      </c>
      <c r="W123" s="73">
        <f t="shared" si="52"/>
        <v>0</v>
      </c>
      <c r="X123" s="72"/>
      <c r="Y123" s="82"/>
      <c r="Z123" s="82">
        <f t="shared" si="53"/>
        <v>0</v>
      </c>
      <c r="AA123" s="82">
        <f t="shared" si="54"/>
        <v>2160</v>
      </c>
      <c r="AB123" s="82">
        <f t="shared" si="55"/>
        <v>0</v>
      </c>
      <c r="AC123" s="82" t="str">
        <f t="shared" si="56"/>
        <v>0.22</v>
      </c>
      <c r="AD123" s="83">
        <f t="shared" si="57"/>
        <v>0</v>
      </c>
      <c r="AE123" s="82"/>
    </row>
    <row r="124" customHeight="1" spans="1:31">
      <c r="A124" s="43">
        <v>121</v>
      </c>
      <c r="B124" s="43"/>
      <c r="C124" s="43"/>
      <c r="D124" s="53"/>
      <c r="E124" s="54" t="s">
        <v>272</v>
      </c>
      <c r="F124" s="43"/>
      <c r="G124" s="46" t="s">
        <v>70</v>
      </c>
      <c r="H124" s="46"/>
      <c r="I124" s="91">
        <v>3600</v>
      </c>
      <c r="J124" s="64"/>
      <c r="K124" s="64">
        <f t="shared" si="68"/>
        <v>0</v>
      </c>
      <c r="L124" s="43" t="s">
        <v>245</v>
      </c>
      <c r="M124" s="65" t="str">
        <f>VLOOKUP(L124,{"甲级","1.2";"乙级","1";"丙级","0.8";"物探","0.22"},2,0)</f>
        <v>0.22</v>
      </c>
      <c r="N124" s="64">
        <f t="shared" si="69"/>
        <v>0</v>
      </c>
      <c r="O124" s="64">
        <f t="shared" si="70"/>
        <v>0</v>
      </c>
      <c r="P124" s="69" t="s">
        <v>246</v>
      </c>
      <c r="Q124" s="76"/>
      <c r="R124" s="77">
        <f t="shared" si="71"/>
        <v>0</v>
      </c>
      <c r="S124" s="72">
        <f t="shared" si="48"/>
        <v>0</v>
      </c>
      <c r="T124" s="72">
        <f t="shared" si="49"/>
        <v>3600</v>
      </c>
      <c r="U124" s="72">
        <f t="shared" si="50"/>
        <v>0</v>
      </c>
      <c r="V124" s="72" t="str">
        <f t="shared" si="51"/>
        <v>0.22</v>
      </c>
      <c r="W124" s="73">
        <f t="shared" si="52"/>
        <v>0</v>
      </c>
      <c r="X124" s="72"/>
      <c r="Y124" s="82"/>
      <c r="Z124" s="82">
        <f t="shared" si="53"/>
        <v>0</v>
      </c>
      <c r="AA124" s="82">
        <f t="shared" si="54"/>
        <v>3600</v>
      </c>
      <c r="AB124" s="82">
        <f t="shared" si="55"/>
        <v>0</v>
      </c>
      <c r="AC124" s="82" t="str">
        <f t="shared" si="56"/>
        <v>0.22</v>
      </c>
      <c r="AD124" s="83">
        <f t="shared" si="57"/>
        <v>0</v>
      </c>
      <c r="AE124" s="82"/>
    </row>
    <row r="125" customHeight="1" spans="1:31">
      <c r="A125" s="47">
        <v>122</v>
      </c>
      <c r="B125" s="43"/>
      <c r="C125" s="43" t="s">
        <v>273</v>
      </c>
      <c r="D125" s="54" t="s">
        <v>274</v>
      </c>
      <c r="E125" s="54"/>
      <c r="F125" s="43"/>
      <c r="G125" s="54" t="s">
        <v>244</v>
      </c>
      <c r="H125" s="46"/>
      <c r="I125" s="91">
        <v>20</v>
      </c>
      <c r="J125" s="64"/>
      <c r="K125" s="64">
        <f t="shared" si="68"/>
        <v>0</v>
      </c>
      <c r="L125" s="43" t="s">
        <v>245</v>
      </c>
      <c r="M125" s="65" t="str">
        <f>VLOOKUP(L125,{"甲级","1.2";"乙级","1";"丙级","0.8";"物探","0.22"},2,0)</f>
        <v>0.22</v>
      </c>
      <c r="N125" s="64">
        <f t="shared" si="69"/>
        <v>0</v>
      </c>
      <c r="O125" s="64">
        <f t="shared" si="70"/>
        <v>0</v>
      </c>
      <c r="P125" s="69" t="s">
        <v>246</v>
      </c>
      <c r="Q125" s="76"/>
      <c r="R125" s="77">
        <f t="shared" si="71"/>
        <v>0</v>
      </c>
      <c r="S125" s="72">
        <f t="shared" si="48"/>
        <v>0</v>
      </c>
      <c r="T125" s="72">
        <f t="shared" si="49"/>
        <v>20</v>
      </c>
      <c r="U125" s="72">
        <f t="shared" si="50"/>
        <v>0</v>
      </c>
      <c r="V125" s="72" t="str">
        <f t="shared" si="51"/>
        <v>0.22</v>
      </c>
      <c r="W125" s="73">
        <f t="shared" si="52"/>
        <v>0</v>
      </c>
      <c r="X125" s="72"/>
      <c r="Y125" s="82"/>
      <c r="Z125" s="82">
        <f t="shared" si="53"/>
        <v>0</v>
      </c>
      <c r="AA125" s="82">
        <f t="shared" si="54"/>
        <v>20</v>
      </c>
      <c r="AB125" s="82">
        <f t="shared" si="55"/>
        <v>0</v>
      </c>
      <c r="AC125" s="82" t="str">
        <f t="shared" si="56"/>
        <v>0.22</v>
      </c>
      <c r="AD125" s="83">
        <f t="shared" si="57"/>
        <v>0</v>
      </c>
      <c r="AE125" s="82"/>
    </row>
    <row r="126" customHeight="1" spans="1:31">
      <c r="A126" s="43">
        <v>123</v>
      </c>
      <c r="B126" s="43"/>
      <c r="C126" s="43"/>
      <c r="D126" s="54" t="s">
        <v>275</v>
      </c>
      <c r="E126" s="54"/>
      <c r="F126" s="43"/>
      <c r="G126" s="54" t="s">
        <v>276</v>
      </c>
      <c r="H126" s="46"/>
      <c r="I126" s="91">
        <v>14</v>
      </c>
      <c r="J126" s="64"/>
      <c r="K126" s="64">
        <f t="shared" si="68"/>
        <v>0</v>
      </c>
      <c r="L126" s="43" t="s">
        <v>245</v>
      </c>
      <c r="M126" s="65" t="str">
        <f>VLOOKUP(L126,{"甲级","1.2";"乙级","1";"丙级","0.8";"物探","0.22"},2,0)</f>
        <v>0.22</v>
      </c>
      <c r="N126" s="64">
        <f t="shared" si="69"/>
        <v>0</v>
      </c>
      <c r="O126" s="64">
        <f t="shared" si="70"/>
        <v>0</v>
      </c>
      <c r="P126" s="69" t="s">
        <v>246</v>
      </c>
      <c r="Q126" s="76"/>
      <c r="R126" s="77">
        <f t="shared" si="71"/>
        <v>0</v>
      </c>
      <c r="S126" s="72">
        <f t="shared" si="48"/>
        <v>0</v>
      </c>
      <c r="T126" s="72">
        <f t="shared" si="49"/>
        <v>14</v>
      </c>
      <c r="U126" s="72">
        <f t="shared" si="50"/>
        <v>0</v>
      </c>
      <c r="V126" s="72" t="str">
        <f t="shared" si="51"/>
        <v>0.22</v>
      </c>
      <c r="W126" s="73">
        <f t="shared" si="52"/>
        <v>0</v>
      </c>
      <c r="X126" s="72"/>
      <c r="Y126" s="82"/>
      <c r="Z126" s="82">
        <f t="shared" si="53"/>
        <v>0</v>
      </c>
      <c r="AA126" s="82">
        <f t="shared" si="54"/>
        <v>14</v>
      </c>
      <c r="AB126" s="82">
        <f t="shared" si="55"/>
        <v>0</v>
      </c>
      <c r="AC126" s="82" t="str">
        <f t="shared" si="56"/>
        <v>0.22</v>
      </c>
      <c r="AD126" s="83">
        <f t="shared" si="57"/>
        <v>0</v>
      </c>
      <c r="AE126" s="82"/>
    </row>
    <row r="127" customHeight="1" spans="1:31">
      <c r="A127" s="47">
        <v>124</v>
      </c>
      <c r="B127" s="43"/>
      <c r="C127" s="43" t="s">
        <v>277</v>
      </c>
      <c r="D127" s="53" t="s">
        <v>278</v>
      </c>
      <c r="E127" s="54" t="s">
        <v>279</v>
      </c>
      <c r="F127" s="43"/>
      <c r="G127" s="54" t="s">
        <v>70</v>
      </c>
      <c r="H127" s="46"/>
      <c r="I127" s="91">
        <v>20</v>
      </c>
      <c r="J127" s="64"/>
      <c r="K127" s="64">
        <f t="shared" si="68"/>
        <v>0</v>
      </c>
      <c r="L127" s="43" t="s">
        <v>245</v>
      </c>
      <c r="M127" s="65" t="str">
        <f>VLOOKUP(L127,{"甲级","1.2";"乙级","1";"丙级","0.8";"物探","0.22"},2,0)</f>
        <v>0.22</v>
      </c>
      <c r="N127" s="64">
        <f t="shared" si="69"/>
        <v>0</v>
      </c>
      <c r="O127" s="64">
        <f t="shared" si="70"/>
        <v>0</v>
      </c>
      <c r="P127" s="69" t="s">
        <v>246</v>
      </c>
      <c r="Q127" s="76"/>
      <c r="R127" s="77">
        <f t="shared" si="71"/>
        <v>0</v>
      </c>
      <c r="S127" s="72">
        <f t="shared" si="48"/>
        <v>0</v>
      </c>
      <c r="T127" s="72">
        <f t="shared" si="49"/>
        <v>20</v>
      </c>
      <c r="U127" s="72">
        <f t="shared" si="50"/>
        <v>0</v>
      </c>
      <c r="V127" s="72" t="str">
        <f t="shared" si="51"/>
        <v>0.22</v>
      </c>
      <c r="W127" s="73">
        <f t="shared" si="52"/>
        <v>0</v>
      </c>
      <c r="X127" s="72"/>
      <c r="Y127" s="82"/>
      <c r="Z127" s="82">
        <f t="shared" si="53"/>
        <v>0</v>
      </c>
      <c r="AA127" s="82">
        <f t="shared" si="54"/>
        <v>20</v>
      </c>
      <c r="AB127" s="82">
        <f t="shared" si="55"/>
        <v>0</v>
      </c>
      <c r="AC127" s="82" t="str">
        <f t="shared" si="56"/>
        <v>0.22</v>
      </c>
      <c r="AD127" s="83">
        <f t="shared" si="57"/>
        <v>0</v>
      </c>
      <c r="AE127" s="82"/>
    </row>
    <row r="128" customHeight="1" spans="1:31">
      <c r="A128" s="43">
        <v>125</v>
      </c>
      <c r="B128" s="43"/>
      <c r="C128" s="43"/>
      <c r="D128" s="53"/>
      <c r="E128" s="54" t="s">
        <v>280</v>
      </c>
      <c r="F128" s="43"/>
      <c r="G128" s="54" t="s">
        <v>281</v>
      </c>
      <c r="H128" s="46"/>
      <c r="I128" s="91">
        <v>13500</v>
      </c>
      <c r="J128" s="64"/>
      <c r="K128" s="64">
        <f t="shared" si="68"/>
        <v>0</v>
      </c>
      <c r="L128" s="43" t="s">
        <v>245</v>
      </c>
      <c r="M128" s="65" t="str">
        <f>VLOOKUP(L128,{"甲级","1.2";"乙级","1";"丙级","0.8";"物探","0.22"},2,0)</f>
        <v>0.22</v>
      </c>
      <c r="N128" s="64">
        <f t="shared" si="69"/>
        <v>0</v>
      </c>
      <c r="O128" s="64">
        <f t="shared" si="70"/>
        <v>0</v>
      </c>
      <c r="P128" s="69" t="s">
        <v>246</v>
      </c>
      <c r="Q128" s="76"/>
      <c r="R128" s="77">
        <f t="shared" si="71"/>
        <v>0</v>
      </c>
      <c r="S128" s="72">
        <f t="shared" si="48"/>
        <v>0</v>
      </c>
      <c r="T128" s="72">
        <f t="shared" si="49"/>
        <v>13500</v>
      </c>
      <c r="U128" s="72">
        <f t="shared" si="50"/>
        <v>0</v>
      </c>
      <c r="V128" s="72" t="str">
        <f t="shared" si="51"/>
        <v>0.22</v>
      </c>
      <c r="W128" s="73">
        <f t="shared" si="52"/>
        <v>0</v>
      </c>
      <c r="X128" s="72"/>
      <c r="Y128" s="82"/>
      <c r="Z128" s="82">
        <f t="shared" si="53"/>
        <v>0</v>
      </c>
      <c r="AA128" s="82">
        <f t="shared" si="54"/>
        <v>13500</v>
      </c>
      <c r="AB128" s="82">
        <f t="shared" si="55"/>
        <v>0</v>
      </c>
      <c r="AC128" s="82" t="str">
        <f t="shared" si="56"/>
        <v>0.22</v>
      </c>
      <c r="AD128" s="83">
        <f t="shared" si="57"/>
        <v>0</v>
      </c>
      <c r="AE128" s="82"/>
    </row>
    <row r="129" customHeight="1" spans="1:31">
      <c r="A129" s="47">
        <v>126</v>
      </c>
      <c r="B129" s="43"/>
      <c r="C129" s="43" t="s">
        <v>282</v>
      </c>
      <c r="D129" s="87" t="s">
        <v>283</v>
      </c>
      <c r="E129" s="54">
        <v>10</v>
      </c>
      <c r="F129" s="43"/>
      <c r="G129" s="92" t="s">
        <v>284</v>
      </c>
      <c r="H129" s="46"/>
      <c r="I129" s="91">
        <v>216</v>
      </c>
      <c r="J129" s="64"/>
      <c r="K129" s="64">
        <f t="shared" si="68"/>
        <v>0</v>
      </c>
      <c r="L129" s="43" t="s">
        <v>245</v>
      </c>
      <c r="M129" s="65" t="str">
        <f>VLOOKUP(L129,{"甲级","1.2";"乙级","1";"丙级","0.8";"物探","0.22"},2,0)</f>
        <v>0.22</v>
      </c>
      <c r="N129" s="64">
        <f t="shared" si="69"/>
        <v>0</v>
      </c>
      <c r="O129" s="64">
        <f t="shared" si="70"/>
        <v>0</v>
      </c>
      <c r="P129" s="69" t="s">
        <v>246</v>
      </c>
      <c r="Q129" s="76"/>
      <c r="R129" s="77">
        <f t="shared" si="71"/>
        <v>0</v>
      </c>
      <c r="S129" s="72">
        <f t="shared" si="48"/>
        <v>0</v>
      </c>
      <c r="T129" s="72">
        <f t="shared" si="49"/>
        <v>216</v>
      </c>
      <c r="U129" s="72">
        <f t="shared" si="50"/>
        <v>0</v>
      </c>
      <c r="V129" s="72" t="str">
        <f t="shared" si="51"/>
        <v>0.22</v>
      </c>
      <c r="W129" s="73">
        <f t="shared" si="52"/>
        <v>0</v>
      </c>
      <c r="X129" s="72"/>
      <c r="Y129" s="82"/>
      <c r="Z129" s="82">
        <f t="shared" si="53"/>
        <v>0</v>
      </c>
      <c r="AA129" s="82">
        <f t="shared" si="54"/>
        <v>216</v>
      </c>
      <c r="AB129" s="82">
        <f t="shared" si="55"/>
        <v>0</v>
      </c>
      <c r="AC129" s="82" t="str">
        <f t="shared" si="56"/>
        <v>0.22</v>
      </c>
      <c r="AD129" s="83">
        <f t="shared" si="57"/>
        <v>0</v>
      </c>
      <c r="AE129" s="82"/>
    </row>
    <row r="130" customHeight="1" spans="1:31">
      <c r="A130" s="43">
        <v>127</v>
      </c>
      <c r="B130" s="43"/>
      <c r="C130" s="43"/>
      <c r="D130" s="53"/>
      <c r="E130" s="54">
        <v>20</v>
      </c>
      <c r="F130" s="43"/>
      <c r="G130" s="92" t="s">
        <v>284</v>
      </c>
      <c r="H130" s="46"/>
      <c r="I130" s="91">
        <v>360</v>
      </c>
      <c r="J130" s="64"/>
      <c r="K130" s="64">
        <f t="shared" si="68"/>
        <v>0</v>
      </c>
      <c r="L130" s="43" t="s">
        <v>245</v>
      </c>
      <c r="M130" s="65" t="str">
        <f>VLOOKUP(L130,{"甲级","1.2";"乙级","1";"丙级","0.8";"物探","0.22"},2,0)</f>
        <v>0.22</v>
      </c>
      <c r="N130" s="64">
        <f t="shared" si="69"/>
        <v>0</v>
      </c>
      <c r="O130" s="64">
        <f t="shared" si="70"/>
        <v>0</v>
      </c>
      <c r="P130" s="69" t="s">
        <v>246</v>
      </c>
      <c r="Q130" s="76"/>
      <c r="R130" s="77">
        <f t="shared" si="71"/>
        <v>0</v>
      </c>
      <c r="S130" s="72">
        <f t="shared" si="48"/>
        <v>0</v>
      </c>
      <c r="T130" s="72">
        <f t="shared" si="49"/>
        <v>360</v>
      </c>
      <c r="U130" s="72">
        <f t="shared" si="50"/>
        <v>0</v>
      </c>
      <c r="V130" s="72" t="str">
        <f t="shared" si="51"/>
        <v>0.22</v>
      </c>
      <c r="W130" s="73">
        <f t="shared" si="52"/>
        <v>0</v>
      </c>
      <c r="X130" s="72"/>
      <c r="Y130" s="82"/>
      <c r="Z130" s="82">
        <f t="shared" si="53"/>
        <v>0</v>
      </c>
      <c r="AA130" s="82">
        <f t="shared" si="54"/>
        <v>360</v>
      </c>
      <c r="AB130" s="82">
        <f t="shared" si="55"/>
        <v>0</v>
      </c>
      <c r="AC130" s="82" t="str">
        <f t="shared" si="56"/>
        <v>0.22</v>
      </c>
      <c r="AD130" s="83">
        <f t="shared" si="57"/>
        <v>0</v>
      </c>
      <c r="AE130" s="82"/>
    </row>
    <row r="131" customHeight="1" spans="1:31">
      <c r="A131" s="47">
        <v>128</v>
      </c>
      <c r="B131" s="43"/>
      <c r="C131" s="43"/>
      <c r="D131" s="53"/>
      <c r="E131" s="54">
        <v>50</v>
      </c>
      <c r="F131" s="43"/>
      <c r="G131" s="92" t="s">
        <v>284</v>
      </c>
      <c r="H131" s="46"/>
      <c r="I131" s="91">
        <v>720</v>
      </c>
      <c r="J131" s="64"/>
      <c r="K131" s="64">
        <f t="shared" si="68"/>
        <v>0</v>
      </c>
      <c r="L131" s="43" t="s">
        <v>245</v>
      </c>
      <c r="M131" s="65" t="str">
        <f>VLOOKUP(L131,{"甲级","1.2";"乙级","1";"丙级","0.8";"物探","0.22"},2,0)</f>
        <v>0.22</v>
      </c>
      <c r="N131" s="64">
        <f t="shared" si="69"/>
        <v>0</v>
      </c>
      <c r="O131" s="64">
        <f t="shared" si="70"/>
        <v>0</v>
      </c>
      <c r="P131" s="69" t="s">
        <v>246</v>
      </c>
      <c r="Q131" s="76"/>
      <c r="R131" s="77">
        <f t="shared" si="71"/>
        <v>0</v>
      </c>
      <c r="S131" s="72">
        <f t="shared" si="48"/>
        <v>0</v>
      </c>
      <c r="T131" s="72">
        <f t="shared" si="49"/>
        <v>720</v>
      </c>
      <c r="U131" s="72">
        <f t="shared" si="50"/>
        <v>0</v>
      </c>
      <c r="V131" s="72" t="str">
        <f t="shared" si="51"/>
        <v>0.22</v>
      </c>
      <c r="W131" s="73">
        <f t="shared" si="52"/>
        <v>0</v>
      </c>
      <c r="X131" s="72"/>
      <c r="Y131" s="82"/>
      <c r="Z131" s="82">
        <f t="shared" si="53"/>
        <v>0</v>
      </c>
      <c r="AA131" s="82">
        <f t="shared" si="54"/>
        <v>720</v>
      </c>
      <c r="AB131" s="82">
        <f t="shared" si="55"/>
        <v>0</v>
      </c>
      <c r="AC131" s="82" t="str">
        <f t="shared" si="56"/>
        <v>0.22</v>
      </c>
      <c r="AD131" s="83">
        <f t="shared" si="57"/>
        <v>0</v>
      </c>
      <c r="AE131" s="82"/>
    </row>
    <row r="132" customHeight="1" spans="1:31">
      <c r="A132" s="43">
        <v>129</v>
      </c>
      <c r="B132" s="43"/>
      <c r="C132" s="43"/>
      <c r="D132" s="53"/>
      <c r="E132" s="54">
        <v>100</v>
      </c>
      <c r="F132" s="43"/>
      <c r="G132" s="92" t="s">
        <v>284</v>
      </c>
      <c r="H132" s="46"/>
      <c r="I132" s="91">
        <v>2160</v>
      </c>
      <c r="J132" s="64"/>
      <c r="K132" s="64">
        <f t="shared" si="68"/>
        <v>0</v>
      </c>
      <c r="L132" s="43" t="s">
        <v>245</v>
      </c>
      <c r="M132" s="65" t="str">
        <f>VLOOKUP(L132,{"甲级","1.2";"乙级","1";"丙级","0.8";"物探","0.22"},2,0)</f>
        <v>0.22</v>
      </c>
      <c r="N132" s="64">
        <f t="shared" si="69"/>
        <v>0</v>
      </c>
      <c r="O132" s="64">
        <f t="shared" si="70"/>
        <v>0</v>
      </c>
      <c r="P132" s="69" t="s">
        <v>246</v>
      </c>
      <c r="Q132" s="76"/>
      <c r="R132" s="77">
        <f t="shared" si="71"/>
        <v>0</v>
      </c>
      <c r="S132" s="72">
        <f t="shared" si="48"/>
        <v>0</v>
      </c>
      <c r="T132" s="72">
        <f t="shared" si="49"/>
        <v>2160</v>
      </c>
      <c r="U132" s="72">
        <f t="shared" si="50"/>
        <v>0</v>
      </c>
      <c r="V132" s="72" t="str">
        <f t="shared" si="51"/>
        <v>0.22</v>
      </c>
      <c r="W132" s="73">
        <f t="shared" si="52"/>
        <v>0</v>
      </c>
      <c r="X132" s="72"/>
      <c r="Y132" s="82"/>
      <c r="Z132" s="82">
        <f t="shared" si="53"/>
        <v>0</v>
      </c>
      <c r="AA132" s="82">
        <f t="shared" si="54"/>
        <v>2160</v>
      </c>
      <c r="AB132" s="82">
        <f t="shared" si="55"/>
        <v>0</v>
      </c>
      <c r="AC132" s="82" t="str">
        <f t="shared" si="56"/>
        <v>0.22</v>
      </c>
      <c r="AD132" s="83">
        <f t="shared" si="57"/>
        <v>0</v>
      </c>
      <c r="AE132" s="82"/>
    </row>
    <row r="133" customHeight="1" spans="1:31">
      <c r="A133" s="47">
        <v>130</v>
      </c>
      <c r="B133" s="43"/>
      <c r="C133" s="43"/>
      <c r="D133" s="53"/>
      <c r="E133" s="54">
        <v>200</v>
      </c>
      <c r="F133" s="43"/>
      <c r="G133" s="92" t="s">
        <v>284</v>
      </c>
      <c r="H133" s="46"/>
      <c r="I133" s="91">
        <v>3600</v>
      </c>
      <c r="J133" s="64"/>
      <c r="K133" s="64">
        <f t="shared" si="68"/>
        <v>0</v>
      </c>
      <c r="L133" s="43" t="s">
        <v>245</v>
      </c>
      <c r="M133" s="65" t="str">
        <f>VLOOKUP(L133,{"甲级","1.2";"乙级","1";"丙级","0.8";"物探","0.22"},2,0)</f>
        <v>0.22</v>
      </c>
      <c r="N133" s="64">
        <f t="shared" si="69"/>
        <v>0</v>
      </c>
      <c r="O133" s="64">
        <f t="shared" si="70"/>
        <v>0</v>
      </c>
      <c r="P133" s="69" t="s">
        <v>246</v>
      </c>
      <c r="Q133" s="76"/>
      <c r="R133" s="77">
        <f t="shared" si="71"/>
        <v>0</v>
      </c>
      <c r="S133" s="72">
        <f t="shared" si="48"/>
        <v>0</v>
      </c>
      <c r="T133" s="72">
        <f t="shared" si="49"/>
        <v>3600</v>
      </c>
      <c r="U133" s="72">
        <f t="shared" si="50"/>
        <v>0</v>
      </c>
      <c r="V133" s="72" t="str">
        <f t="shared" si="51"/>
        <v>0.22</v>
      </c>
      <c r="W133" s="73">
        <f t="shared" si="52"/>
        <v>0</v>
      </c>
      <c r="X133" s="72"/>
      <c r="Y133" s="82"/>
      <c r="Z133" s="82">
        <f t="shared" si="53"/>
        <v>0</v>
      </c>
      <c r="AA133" s="82">
        <f t="shared" si="54"/>
        <v>3600</v>
      </c>
      <c r="AB133" s="82">
        <f t="shared" si="55"/>
        <v>0</v>
      </c>
      <c r="AC133" s="82" t="str">
        <f t="shared" si="56"/>
        <v>0.22</v>
      </c>
      <c r="AD133" s="83">
        <f t="shared" si="57"/>
        <v>0</v>
      </c>
      <c r="AE133" s="82"/>
    </row>
    <row r="134" customHeight="1" spans="1:31">
      <c r="A134" s="43">
        <v>131</v>
      </c>
      <c r="B134" s="43"/>
      <c r="C134" s="43" t="s">
        <v>285</v>
      </c>
      <c r="D134" s="53" t="s">
        <v>286</v>
      </c>
      <c r="E134" s="54" t="s">
        <v>227</v>
      </c>
      <c r="F134" s="43"/>
      <c r="G134" s="92" t="s">
        <v>284</v>
      </c>
      <c r="H134" s="46"/>
      <c r="I134" s="91">
        <v>27</v>
      </c>
      <c r="J134" s="64"/>
      <c r="K134" s="64">
        <f t="shared" si="68"/>
        <v>0</v>
      </c>
      <c r="L134" s="43" t="s">
        <v>245</v>
      </c>
      <c r="M134" s="65" t="str">
        <f>VLOOKUP(L134,{"甲级","1.2";"乙级","1";"丙级","0.8";"物探","0.22"},2,0)</f>
        <v>0.22</v>
      </c>
      <c r="N134" s="64">
        <f t="shared" si="69"/>
        <v>0</v>
      </c>
      <c r="O134" s="64">
        <f t="shared" si="70"/>
        <v>0</v>
      </c>
      <c r="P134" s="69" t="s">
        <v>246</v>
      </c>
      <c r="Q134" s="76"/>
      <c r="R134" s="77">
        <f t="shared" si="71"/>
        <v>0</v>
      </c>
      <c r="S134" s="72">
        <f t="shared" si="48"/>
        <v>0</v>
      </c>
      <c r="T134" s="72">
        <f t="shared" si="49"/>
        <v>27</v>
      </c>
      <c r="U134" s="72">
        <f t="shared" si="50"/>
        <v>0</v>
      </c>
      <c r="V134" s="72" t="str">
        <f t="shared" si="51"/>
        <v>0.22</v>
      </c>
      <c r="W134" s="73">
        <f t="shared" si="52"/>
        <v>0</v>
      </c>
      <c r="X134" s="72"/>
      <c r="Y134" s="82"/>
      <c r="Z134" s="82">
        <f t="shared" si="53"/>
        <v>0</v>
      </c>
      <c r="AA134" s="82">
        <f t="shared" si="54"/>
        <v>27</v>
      </c>
      <c r="AB134" s="82">
        <f t="shared" si="55"/>
        <v>0</v>
      </c>
      <c r="AC134" s="82" t="str">
        <f t="shared" si="56"/>
        <v>0.22</v>
      </c>
      <c r="AD134" s="83">
        <f t="shared" si="57"/>
        <v>0</v>
      </c>
      <c r="AE134" s="82"/>
    </row>
    <row r="135" customHeight="1" spans="1:31">
      <c r="A135" s="47">
        <v>132</v>
      </c>
      <c r="B135" s="43"/>
      <c r="C135" s="43"/>
      <c r="D135" s="53"/>
      <c r="E135" s="54" t="s">
        <v>287</v>
      </c>
      <c r="F135" s="43"/>
      <c r="G135" s="92" t="s">
        <v>284</v>
      </c>
      <c r="H135" s="46"/>
      <c r="I135" s="91">
        <v>36</v>
      </c>
      <c r="J135" s="64"/>
      <c r="K135" s="64">
        <f t="shared" si="68"/>
        <v>0</v>
      </c>
      <c r="L135" s="43" t="s">
        <v>245</v>
      </c>
      <c r="M135" s="65" t="str">
        <f>VLOOKUP(L135,{"甲级","1.2";"乙级","1";"丙级","0.8";"物探","0.22"},2,0)</f>
        <v>0.22</v>
      </c>
      <c r="N135" s="64">
        <f t="shared" si="69"/>
        <v>0</v>
      </c>
      <c r="O135" s="64">
        <f t="shared" si="70"/>
        <v>0</v>
      </c>
      <c r="P135" s="69" t="s">
        <v>246</v>
      </c>
      <c r="Q135" s="76"/>
      <c r="R135" s="77">
        <f t="shared" si="71"/>
        <v>0</v>
      </c>
      <c r="S135" s="72">
        <f t="shared" si="48"/>
        <v>0</v>
      </c>
      <c r="T135" s="72">
        <f t="shared" si="49"/>
        <v>36</v>
      </c>
      <c r="U135" s="72">
        <f t="shared" si="50"/>
        <v>0</v>
      </c>
      <c r="V135" s="72" t="str">
        <f t="shared" si="51"/>
        <v>0.22</v>
      </c>
      <c r="W135" s="73">
        <f t="shared" si="52"/>
        <v>0</v>
      </c>
      <c r="X135" s="72"/>
      <c r="Y135" s="82"/>
      <c r="Z135" s="82">
        <f t="shared" si="53"/>
        <v>0</v>
      </c>
      <c r="AA135" s="82">
        <f t="shared" si="54"/>
        <v>36</v>
      </c>
      <c r="AB135" s="82">
        <f t="shared" si="55"/>
        <v>0</v>
      </c>
      <c r="AC135" s="82" t="str">
        <f t="shared" si="56"/>
        <v>0.22</v>
      </c>
      <c r="AD135" s="83">
        <f t="shared" si="57"/>
        <v>0</v>
      </c>
      <c r="AE135" s="82"/>
    </row>
    <row r="136" customHeight="1" spans="1:31">
      <c r="A136" s="43">
        <v>133</v>
      </c>
      <c r="B136" s="43"/>
      <c r="C136" s="43"/>
      <c r="D136" s="53"/>
      <c r="E136" s="54" t="s">
        <v>267</v>
      </c>
      <c r="F136" s="43"/>
      <c r="G136" s="92" t="s">
        <v>284</v>
      </c>
      <c r="H136" s="46"/>
      <c r="I136" s="91">
        <v>54</v>
      </c>
      <c r="J136" s="64"/>
      <c r="K136" s="64">
        <f t="shared" si="68"/>
        <v>0</v>
      </c>
      <c r="L136" s="43" t="s">
        <v>245</v>
      </c>
      <c r="M136" s="65" t="str">
        <f>VLOOKUP(L136,{"甲级","1.2";"乙级","1";"丙级","0.8";"物探","0.22"},2,0)</f>
        <v>0.22</v>
      </c>
      <c r="N136" s="64">
        <f t="shared" si="69"/>
        <v>0</v>
      </c>
      <c r="O136" s="64">
        <f t="shared" si="70"/>
        <v>0</v>
      </c>
      <c r="P136" s="69" t="s">
        <v>246</v>
      </c>
      <c r="Q136" s="76"/>
      <c r="R136" s="77">
        <f t="shared" si="71"/>
        <v>0</v>
      </c>
      <c r="S136" s="72">
        <f t="shared" si="48"/>
        <v>0</v>
      </c>
      <c r="T136" s="72">
        <f t="shared" si="49"/>
        <v>54</v>
      </c>
      <c r="U136" s="72">
        <f t="shared" si="50"/>
        <v>0</v>
      </c>
      <c r="V136" s="72" t="str">
        <f t="shared" si="51"/>
        <v>0.22</v>
      </c>
      <c r="W136" s="73">
        <f t="shared" si="52"/>
        <v>0</v>
      </c>
      <c r="X136" s="72"/>
      <c r="Y136" s="82"/>
      <c r="Z136" s="82">
        <f t="shared" si="53"/>
        <v>0</v>
      </c>
      <c r="AA136" s="82">
        <f t="shared" si="54"/>
        <v>54</v>
      </c>
      <c r="AB136" s="82">
        <f t="shared" si="55"/>
        <v>0</v>
      </c>
      <c r="AC136" s="82" t="str">
        <f t="shared" si="56"/>
        <v>0.22</v>
      </c>
      <c r="AD136" s="83">
        <f t="shared" si="57"/>
        <v>0</v>
      </c>
      <c r="AE136" s="82"/>
    </row>
    <row r="137" customHeight="1" spans="1:31">
      <c r="A137" s="47">
        <v>134</v>
      </c>
      <c r="B137" s="43"/>
      <c r="C137" s="43" t="s">
        <v>288</v>
      </c>
      <c r="D137" s="54" t="s">
        <v>289</v>
      </c>
      <c r="E137" s="54"/>
      <c r="F137" s="43" t="s">
        <v>76</v>
      </c>
      <c r="G137" s="46" t="s">
        <v>101</v>
      </c>
      <c r="H137" s="46"/>
      <c r="I137" s="91" t="str">
        <f>VLOOKUP(F137,{"简单","1800";"中等","3600";"复杂","6300"},2,0)</f>
        <v>1800</v>
      </c>
      <c r="J137" s="64"/>
      <c r="K137" s="64">
        <f t="shared" si="68"/>
        <v>0</v>
      </c>
      <c r="L137" s="43" t="s">
        <v>245</v>
      </c>
      <c r="M137" s="65" t="str">
        <f>VLOOKUP(L137,{"甲级","1.2";"乙级","1";"丙级","0.8";"物探","0.22"},2,0)</f>
        <v>0.22</v>
      </c>
      <c r="N137" s="64">
        <f t="shared" si="69"/>
        <v>0</v>
      </c>
      <c r="O137" s="64">
        <f t="shared" si="70"/>
        <v>0</v>
      </c>
      <c r="P137" s="69" t="s">
        <v>246</v>
      </c>
      <c r="Q137" s="76"/>
      <c r="R137" s="77">
        <f t="shared" si="71"/>
        <v>0</v>
      </c>
      <c r="S137" s="72">
        <f t="shared" si="48"/>
        <v>0</v>
      </c>
      <c r="T137" s="72" t="str">
        <f t="shared" si="49"/>
        <v>1800</v>
      </c>
      <c r="U137" s="72">
        <f t="shared" si="50"/>
        <v>0</v>
      </c>
      <c r="V137" s="72" t="str">
        <f t="shared" si="51"/>
        <v>0.22</v>
      </c>
      <c r="W137" s="73">
        <f t="shared" si="52"/>
        <v>0</v>
      </c>
      <c r="X137" s="72"/>
      <c r="Y137" s="82"/>
      <c r="Z137" s="82">
        <f t="shared" si="53"/>
        <v>0</v>
      </c>
      <c r="AA137" s="82" t="str">
        <f t="shared" si="54"/>
        <v>1800</v>
      </c>
      <c r="AB137" s="82">
        <f t="shared" si="55"/>
        <v>0</v>
      </c>
      <c r="AC137" s="82" t="str">
        <f t="shared" si="56"/>
        <v>0.22</v>
      </c>
      <c r="AD137" s="83">
        <f t="shared" si="57"/>
        <v>0</v>
      </c>
      <c r="AE137" s="82"/>
    </row>
    <row r="138" customHeight="1" spans="1:31">
      <c r="A138" s="43">
        <v>135</v>
      </c>
      <c r="B138" s="43"/>
      <c r="C138" s="43"/>
      <c r="D138" s="54" t="s">
        <v>290</v>
      </c>
      <c r="E138" s="54"/>
      <c r="F138" s="43" t="s">
        <v>76</v>
      </c>
      <c r="G138" s="46" t="s">
        <v>101</v>
      </c>
      <c r="H138" s="46"/>
      <c r="I138" s="91" t="str">
        <f>VLOOKUP(F138,{"简单","2250";"中等","4500";"复杂","7200"},2,0)</f>
        <v>2250</v>
      </c>
      <c r="J138" s="64"/>
      <c r="K138" s="64">
        <f t="shared" si="68"/>
        <v>0</v>
      </c>
      <c r="L138" s="43" t="s">
        <v>245</v>
      </c>
      <c r="M138" s="65" t="str">
        <f>VLOOKUP(L138,{"甲级","1.2";"乙级","1";"丙级","0.8";"物探","0.22"},2,0)</f>
        <v>0.22</v>
      </c>
      <c r="N138" s="64">
        <f t="shared" si="69"/>
        <v>0</v>
      </c>
      <c r="O138" s="64">
        <f t="shared" si="70"/>
        <v>0</v>
      </c>
      <c r="P138" s="69" t="s">
        <v>246</v>
      </c>
      <c r="Q138" s="76"/>
      <c r="R138" s="77">
        <f t="shared" si="71"/>
        <v>0</v>
      </c>
      <c r="S138" s="72">
        <f t="shared" si="48"/>
        <v>0</v>
      </c>
      <c r="T138" s="72" t="str">
        <f t="shared" si="49"/>
        <v>2250</v>
      </c>
      <c r="U138" s="72">
        <f t="shared" si="50"/>
        <v>0</v>
      </c>
      <c r="V138" s="72" t="str">
        <f t="shared" si="51"/>
        <v>0.22</v>
      </c>
      <c r="W138" s="73">
        <f t="shared" si="52"/>
        <v>0</v>
      </c>
      <c r="X138" s="72"/>
      <c r="Y138" s="82"/>
      <c r="Z138" s="82">
        <f t="shared" si="53"/>
        <v>0</v>
      </c>
      <c r="AA138" s="82" t="str">
        <f t="shared" si="54"/>
        <v>2250</v>
      </c>
      <c r="AB138" s="82">
        <f t="shared" si="55"/>
        <v>0</v>
      </c>
      <c r="AC138" s="82" t="str">
        <f t="shared" si="56"/>
        <v>0.22</v>
      </c>
      <c r="AD138" s="83">
        <f t="shared" si="57"/>
        <v>0</v>
      </c>
      <c r="AE138" s="82"/>
    </row>
    <row r="139" customHeight="1" spans="1:31">
      <c r="A139" s="47">
        <v>136</v>
      </c>
      <c r="B139" s="43"/>
      <c r="C139" s="43"/>
      <c r="D139" s="54" t="s">
        <v>291</v>
      </c>
      <c r="E139" s="54"/>
      <c r="F139" s="43" t="s">
        <v>76</v>
      </c>
      <c r="G139" s="46" t="s">
        <v>101</v>
      </c>
      <c r="H139" s="46"/>
      <c r="I139" s="91" t="str">
        <f>VLOOKUP(F139,{"简单","2700";"中等","5400";"复杂","9000"},2,0)</f>
        <v>2700</v>
      </c>
      <c r="J139" s="64"/>
      <c r="K139" s="64">
        <f t="shared" si="68"/>
        <v>0</v>
      </c>
      <c r="L139" s="43" t="s">
        <v>245</v>
      </c>
      <c r="M139" s="65" t="str">
        <f>VLOOKUP(L139,{"甲级","1.2";"乙级","1";"丙级","0.8";"物探","0.22"},2,0)</f>
        <v>0.22</v>
      </c>
      <c r="N139" s="64">
        <f t="shared" si="69"/>
        <v>0</v>
      </c>
      <c r="O139" s="64">
        <f t="shared" si="70"/>
        <v>0</v>
      </c>
      <c r="P139" s="69" t="s">
        <v>246</v>
      </c>
      <c r="Q139" s="76"/>
      <c r="R139" s="77">
        <f t="shared" si="71"/>
        <v>0</v>
      </c>
      <c r="S139" s="72">
        <f t="shared" si="48"/>
        <v>0</v>
      </c>
      <c r="T139" s="72" t="str">
        <f t="shared" si="49"/>
        <v>2700</v>
      </c>
      <c r="U139" s="72">
        <f t="shared" si="50"/>
        <v>0</v>
      </c>
      <c r="V139" s="72" t="str">
        <f t="shared" si="51"/>
        <v>0.22</v>
      </c>
      <c r="W139" s="73">
        <f t="shared" si="52"/>
        <v>0</v>
      </c>
      <c r="X139" s="72"/>
      <c r="Y139" s="82"/>
      <c r="Z139" s="82">
        <f t="shared" si="53"/>
        <v>0</v>
      </c>
      <c r="AA139" s="82" t="str">
        <f t="shared" si="54"/>
        <v>2700</v>
      </c>
      <c r="AB139" s="82">
        <f t="shared" si="55"/>
        <v>0</v>
      </c>
      <c r="AC139" s="82" t="str">
        <f t="shared" si="56"/>
        <v>0.22</v>
      </c>
      <c r="AD139" s="83">
        <f t="shared" si="57"/>
        <v>0</v>
      </c>
      <c r="AE139" s="82"/>
    </row>
    <row r="140" customHeight="1" spans="1:31">
      <c r="A140" s="43">
        <v>137</v>
      </c>
      <c r="B140" s="43"/>
      <c r="C140" s="43"/>
      <c r="D140" s="54" t="s">
        <v>292</v>
      </c>
      <c r="E140" s="54"/>
      <c r="F140" s="43" t="s">
        <v>76</v>
      </c>
      <c r="G140" s="46" t="s">
        <v>101</v>
      </c>
      <c r="H140" s="46"/>
      <c r="I140" s="91" t="str">
        <f>VLOOKUP(F140,{"简单","1350";"中等","2700";"复杂","5400"},2,0)</f>
        <v>1350</v>
      </c>
      <c r="J140" s="64"/>
      <c r="K140" s="64">
        <f t="shared" si="68"/>
        <v>0</v>
      </c>
      <c r="L140" s="43" t="s">
        <v>245</v>
      </c>
      <c r="M140" s="65" t="str">
        <f>VLOOKUP(L140,{"甲级","1.2";"乙级","1";"丙级","0.8";"物探","0.22"},2,0)</f>
        <v>0.22</v>
      </c>
      <c r="N140" s="64">
        <f t="shared" si="69"/>
        <v>0</v>
      </c>
      <c r="O140" s="64">
        <f t="shared" si="70"/>
        <v>0</v>
      </c>
      <c r="P140" s="69" t="s">
        <v>246</v>
      </c>
      <c r="Q140" s="76"/>
      <c r="R140" s="77">
        <f t="shared" si="71"/>
        <v>0</v>
      </c>
      <c r="S140" s="72">
        <f t="shared" si="48"/>
        <v>0</v>
      </c>
      <c r="T140" s="72" t="str">
        <f t="shared" si="49"/>
        <v>1350</v>
      </c>
      <c r="U140" s="72">
        <f t="shared" si="50"/>
        <v>0</v>
      </c>
      <c r="V140" s="72" t="str">
        <f t="shared" si="51"/>
        <v>0.22</v>
      </c>
      <c r="W140" s="73">
        <f t="shared" si="52"/>
        <v>0</v>
      </c>
      <c r="X140" s="72"/>
      <c r="Y140" s="82"/>
      <c r="Z140" s="82">
        <f t="shared" si="53"/>
        <v>0</v>
      </c>
      <c r="AA140" s="82" t="str">
        <f t="shared" si="54"/>
        <v>1350</v>
      </c>
      <c r="AB140" s="82">
        <f t="shared" si="55"/>
        <v>0</v>
      </c>
      <c r="AC140" s="82" t="str">
        <f t="shared" si="56"/>
        <v>0.22</v>
      </c>
      <c r="AD140" s="83">
        <f t="shared" si="57"/>
        <v>0</v>
      </c>
      <c r="AE140" s="82"/>
    </row>
    <row r="141" customHeight="1" spans="1:31">
      <c r="A141" s="47">
        <v>138</v>
      </c>
      <c r="B141" s="43"/>
      <c r="C141" s="43"/>
      <c r="D141" s="54" t="s">
        <v>110</v>
      </c>
      <c r="E141" s="54"/>
      <c r="F141" s="43" t="s">
        <v>76</v>
      </c>
      <c r="G141" s="46" t="s">
        <v>293</v>
      </c>
      <c r="H141" s="46"/>
      <c r="I141" s="91" t="str">
        <f>VLOOKUP(F141,{"简单","1";"中等","1.5";"复杂","3"},2,0)</f>
        <v>1</v>
      </c>
      <c r="J141" s="64"/>
      <c r="K141" s="64">
        <f t="shared" si="68"/>
        <v>0</v>
      </c>
      <c r="L141" s="43" t="s">
        <v>245</v>
      </c>
      <c r="M141" s="65" t="str">
        <f>VLOOKUP(L141,{"甲级","1.2";"乙级","1";"丙级","0.8";"物探","0.22"},2,0)</f>
        <v>0.22</v>
      </c>
      <c r="N141" s="64">
        <f t="shared" si="69"/>
        <v>0</v>
      </c>
      <c r="O141" s="64">
        <f t="shared" si="70"/>
        <v>0</v>
      </c>
      <c r="P141" s="69" t="s">
        <v>246</v>
      </c>
      <c r="Q141" s="76"/>
      <c r="R141" s="77">
        <f t="shared" si="71"/>
        <v>0</v>
      </c>
      <c r="S141" s="72">
        <f t="shared" si="48"/>
        <v>0</v>
      </c>
      <c r="T141" s="72" t="str">
        <f t="shared" si="49"/>
        <v>1</v>
      </c>
      <c r="U141" s="72">
        <f t="shared" si="50"/>
        <v>0</v>
      </c>
      <c r="V141" s="72" t="str">
        <f t="shared" si="51"/>
        <v>0.22</v>
      </c>
      <c r="W141" s="73">
        <f t="shared" si="52"/>
        <v>0</v>
      </c>
      <c r="X141" s="72"/>
      <c r="Y141" s="82"/>
      <c r="Z141" s="82">
        <f t="shared" si="53"/>
        <v>0</v>
      </c>
      <c r="AA141" s="82" t="str">
        <f t="shared" si="54"/>
        <v>1</v>
      </c>
      <c r="AB141" s="82">
        <f t="shared" si="55"/>
        <v>0</v>
      </c>
      <c r="AC141" s="82" t="str">
        <f t="shared" si="56"/>
        <v>0.22</v>
      </c>
      <c r="AD141" s="83">
        <f t="shared" si="57"/>
        <v>0</v>
      </c>
      <c r="AE141" s="82"/>
    </row>
    <row r="142" customHeight="1" spans="1:31">
      <c r="A142" s="43">
        <v>139</v>
      </c>
      <c r="B142" s="43"/>
      <c r="C142" s="93" t="s">
        <v>294</v>
      </c>
      <c r="D142" s="43" t="s">
        <v>295</v>
      </c>
      <c r="E142" s="43"/>
      <c r="F142" s="43"/>
      <c r="G142" s="46" t="s">
        <v>148</v>
      </c>
      <c r="H142" s="46"/>
      <c r="I142" s="91">
        <v>45</v>
      </c>
      <c r="J142" s="64"/>
      <c r="K142" s="64">
        <f t="shared" si="68"/>
        <v>0</v>
      </c>
      <c r="L142" s="43" t="s">
        <v>245</v>
      </c>
      <c r="M142" s="65" t="str">
        <f>VLOOKUP(L142,{"甲级","1.2";"乙级","1";"丙级","0.8";"物探","0.22"},2,0)</f>
        <v>0.22</v>
      </c>
      <c r="N142" s="64">
        <f t="shared" si="69"/>
        <v>0</v>
      </c>
      <c r="O142" s="64">
        <f t="shared" si="70"/>
        <v>0</v>
      </c>
      <c r="P142" s="69" t="s">
        <v>246</v>
      </c>
      <c r="Q142" s="76"/>
      <c r="R142" s="77">
        <f t="shared" si="71"/>
        <v>0</v>
      </c>
      <c r="S142" s="72">
        <f t="shared" ref="S142:S205" si="72">H142</f>
        <v>0</v>
      </c>
      <c r="T142" s="72">
        <f t="shared" ref="T142:T205" si="73">I142</f>
        <v>45</v>
      </c>
      <c r="U142" s="72">
        <f t="shared" ref="U142:U205" si="74">J142</f>
        <v>0</v>
      </c>
      <c r="V142" s="72" t="str">
        <f t="shared" ref="V142:V205" si="75">M142</f>
        <v>0.22</v>
      </c>
      <c r="W142" s="73">
        <f t="shared" ref="W142:W205" si="76">S142*U142*T142*(1+V142)</f>
        <v>0</v>
      </c>
      <c r="X142" s="72"/>
      <c r="Y142" s="82"/>
      <c r="Z142" s="82">
        <f t="shared" ref="Z142:Z205" si="77">H142</f>
        <v>0</v>
      </c>
      <c r="AA142" s="82">
        <f t="shared" ref="AA142:AA205" si="78">I142</f>
        <v>45</v>
      </c>
      <c r="AB142" s="82">
        <f t="shared" ref="AB142:AB205" si="79">J142</f>
        <v>0</v>
      </c>
      <c r="AC142" s="82" t="str">
        <f t="shared" ref="AC142:AC205" si="80">M142</f>
        <v>0.22</v>
      </c>
      <c r="AD142" s="83">
        <f t="shared" ref="AD142:AD205" si="81">Z142*AB142*AA142*(1+AC142)</f>
        <v>0</v>
      </c>
      <c r="AE142" s="82"/>
    </row>
    <row r="143" customHeight="1" spans="1:31">
      <c r="A143" s="47">
        <v>140</v>
      </c>
      <c r="B143" s="43"/>
      <c r="C143" s="94"/>
      <c r="D143" s="47" t="s">
        <v>296</v>
      </c>
      <c r="E143" s="95"/>
      <c r="F143" s="43"/>
      <c r="G143" s="46" t="s">
        <v>148</v>
      </c>
      <c r="H143" s="46"/>
      <c r="I143" s="91">
        <v>23</v>
      </c>
      <c r="J143" s="64"/>
      <c r="K143" s="64">
        <f t="shared" si="68"/>
        <v>0</v>
      </c>
      <c r="L143" s="43" t="s">
        <v>245</v>
      </c>
      <c r="M143" s="65" t="str">
        <f>VLOOKUP(L143,{"甲级","1.2";"乙级","1";"丙级","0.8";"物探","0.22"},2,0)</f>
        <v>0.22</v>
      </c>
      <c r="N143" s="64">
        <f t="shared" si="69"/>
        <v>0</v>
      </c>
      <c r="O143" s="64">
        <f t="shared" si="70"/>
        <v>0</v>
      </c>
      <c r="P143" s="69" t="s">
        <v>246</v>
      </c>
      <c r="Q143" s="76"/>
      <c r="R143" s="77">
        <f t="shared" si="71"/>
        <v>0</v>
      </c>
      <c r="S143" s="72">
        <f t="shared" si="72"/>
        <v>0</v>
      </c>
      <c r="T143" s="72">
        <f t="shared" si="73"/>
        <v>23</v>
      </c>
      <c r="U143" s="72">
        <f t="shared" si="74"/>
        <v>0</v>
      </c>
      <c r="V143" s="72" t="str">
        <f t="shared" si="75"/>
        <v>0.22</v>
      </c>
      <c r="W143" s="73">
        <f t="shared" si="76"/>
        <v>0</v>
      </c>
      <c r="X143" s="72"/>
      <c r="Y143" s="82"/>
      <c r="Z143" s="82">
        <f t="shared" si="77"/>
        <v>0</v>
      </c>
      <c r="AA143" s="82">
        <f t="shared" si="78"/>
        <v>23</v>
      </c>
      <c r="AB143" s="82">
        <f t="shared" si="79"/>
        <v>0</v>
      </c>
      <c r="AC143" s="82" t="str">
        <f t="shared" si="80"/>
        <v>0.22</v>
      </c>
      <c r="AD143" s="83">
        <f t="shared" si="81"/>
        <v>0</v>
      </c>
      <c r="AE143" s="82"/>
    </row>
    <row r="144" customHeight="1" spans="1:31">
      <c r="A144" s="43">
        <v>141</v>
      </c>
      <c r="B144" s="43"/>
      <c r="C144" s="94" t="s">
        <v>297</v>
      </c>
      <c r="D144" s="47" t="s">
        <v>298</v>
      </c>
      <c r="E144" s="95"/>
      <c r="F144" s="43"/>
      <c r="G144" s="46" t="s">
        <v>70</v>
      </c>
      <c r="H144" s="46"/>
      <c r="I144" s="91">
        <v>260</v>
      </c>
      <c r="J144" s="64"/>
      <c r="K144" s="64">
        <f t="shared" si="68"/>
        <v>0</v>
      </c>
      <c r="L144" s="43" t="s">
        <v>245</v>
      </c>
      <c r="M144" s="65" t="str">
        <f>VLOOKUP(L144,{"甲级","1.2";"乙级","1";"丙级","0.8";"物探","0.22"},2,0)</f>
        <v>0.22</v>
      </c>
      <c r="N144" s="64">
        <f t="shared" si="69"/>
        <v>0</v>
      </c>
      <c r="O144" s="64">
        <f t="shared" si="70"/>
        <v>0</v>
      </c>
      <c r="P144" s="69" t="s">
        <v>246</v>
      </c>
      <c r="Q144" s="76"/>
      <c r="R144" s="77">
        <f t="shared" si="71"/>
        <v>0</v>
      </c>
      <c r="S144" s="72">
        <f t="shared" si="72"/>
        <v>0</v>
      </c>
      <c r="T144" s="72">
        <f t="shared" si="73"/>
        <v>260</v>
      </c>
      <c r="U144" s="72">
        <f t="shared" si="74"/>
        <v>0</v>
      </c>
      <c r="V144" s="72" t="str">
        <f t="shared" si="75"/>
        <v>0.22</v>
      </c>
      <c r="W144" s="73">
        <f t="shared" si="76"/>
        <v>0</v>
      </c>
      <c r="X144" s="72"/>
      <c r="Y144" s="82"/>
      <c r="Z144" s="82">
        <f t="shared" si="77"/>
        <v>0</v>
      </c>
      <c r="AA144" s="82">
        <f t="shared" si="78"/>
        <v>260</v>
      </c>
      <c r="AB144" s="82">
        <f t="shared" si="79"/>
        <v>0</v>
      </c>
      <c r="AC144" s="82" t="str">
        <f t="shared" si="80"/>
        <v>0.22</v>
      </c>
      <c r="AD144" s="83">
        <f t="shared" si="81"/>
        <v>0</v>
      </c>
      <c r="AE144" s="82"/>
    </row>
    <row r="145" customHeight="1" spans="1:31">
      <c r="A145" s="47">
        <v>142</v>
      </c>
      <c r="B145" s="43"/>
      <c r="C145" s="48" t="s">
        <v>299</v>
      </c>
      <c r="D145" s="93" t="s">
        <v>300</v>
      </c>
      <c r="E145" s="96" t="s">
        <v>301</v>
      </c>
      <c r="F145" s="43" t="s">
        <v>302</v>
      </c>
      <c r="G145" s="46" t="s">
        <v>148</v>
      </c>
      <c r="H145" s="97"/>
      <c r="I145" s="63">
        <v>135</v>
      </c>
      <c r="J145" s="64"/>
      <c r="K145" s="64">
        <f t="shared" ref="K145:K165" si="82">I145*H145*J145</f>
        <v>0</v>
      </c>
      <c r="L145" s="43" t="s">
        <v>245</v>
      </c>
      <c r="M145" s="65" t="str">
        <f>VLOOKUP(L145,{"甲级","1.2";"乙级","1";"丙级","0.8";"物探","0.22"},2,0)</f>
        <v>0.22</v>
      </c>
      <c r="N145" s="64">
        <f t="shared" ref="N145:N165" si="83">K145*M145</f>
        <v>0</v>
      </c>
      <c r="O145" s="64">
        <f t="shared" ref="O145:O165" si="84">K145+N145</f>
        <v>0</v>
      </c>
      <c r="P145" s="69" t="s">
        <v>246</v>
      </c>
      <c r="Q145" s="76"/>
      <c r="R145" s="77">
        <f t="shared" si="71"/>
        <v>0</v>
      </c>
      <c r="S145" s="72">
        <f t="shared" si="72"/>
        <v>0</v>
      </c>
      <c r="T145" s="72">
        <f t="shared" si="73"/>
        <v>135</v>
      </c>
      <c r="U145" s="72">
        <f t="shared" si="74"/>
        <v>0</v>
      </c>
      <c r="V145" s="72" t="str">
        <f t="shared" si="75"/>
        <v>0.22</v>
      </c>
      <c r="W145" s="73">
        <f t="shared" si="76"/>
        <v>0</v>
      </c>
      <c r="X145" s="72"/>
      <c r="Y145" s="82"/>
      <c r="Z145" s="82">
        <f t="shared" si="77"/>
        <v>0</v>
      </c>
      <c r="AA145" s="82">
        <f t="shared" si="78"/>
        <v>135</v>
      </c>
      <c r="AB145" s="82">
        <f t="shared" si="79"/>
        <v>0</v>
      </c>
      <c r="AC145" s="82" t="str">
        <f t="shared" si="80"/>
        <v>0.22</v>
      </c>
      <c r="AD145" s="83">
        <f t="shared" si="81"/>
        <v>0</v>
      </c>
      <c r="AE145" s="82"/>
    </row>
    <row r="146" customHeight="1" spans="1:31">
      <c r="A146" s="43">
        <v>143</v>
      </c>
      <c r="B146" s="43"/>
      <c r="C146" s="50"/>
      <c r="D146" s="98"/>
      <c r="E146" s="96" t="s">
        <v>303</v>
      </c>
      <c r="F146" s="43" t="s">
        <v>302</v>
      </c>
      <c r="G146" s="46" t="s">
        <v>148</v>
      </c>
      <c r="H146" s="97"/>
      <c r="I146" s="63">
        <v>162</v>
      </c>
      <c r="J146" s="64"/>
      <c r="K146" s="64">
        <f t="shared" si="82"/>
        <v>0</v>
      </c>
      <c r="L146" s="43" t="s">
        <v>245</v>
      </c>
      <c r="M146" s="65" t="str">
        <f>VLOOKUP(L146,{"甲级","1.2";"乙级","1";"丙级","0.8";"物探","0.22"},2,0)</f>
        <v>0.22</v>
      </c>
      <c r="N146" s="64">
        <f t="shared" si="83"/>
        <v>0</v>
      </c>
      <c r="O146" s="64">
        <f t="shared" si="84"/>
        <v>0</v>
      </c>
      <c r="P146" s="69" t="s">
        <v>246</v>
      </c>
      <c r="Q146" s="76"/>
      <c r="R146" s="77">
        <f t="shared" ref="R146:R177" si="85">S146-H146</f>
        <v>0</v>
      </c>
      <c r="S146" s="72">
        <f t="shared" si="72"/>
        <v>0</v>
      </c>
      <c r="T146" s="72">
        <f t="shared" si="73"/>
        <v>162</v>
      </c>
      <c r="U146" s="72">
        <f t="shared" si="74"/>
        <v>0</v>
      </c>
      <c r="V146" s="72" t="str">
        <f t="shared" si="75"/>
        <v>0.22</v>
      </c>
      <c r="W146" s="73">
        <f t="shared" si="76"/>
        <v>0</v>
      </c>
      <c r="X146" s="72"/>
      <c r="Y146" s="82"/>
      <c r="Z146" s="82">
        <f t="shared" si="77"/>
        <v>0</v>
      </c>
      <c r="AA146" s="82">
        <f t="shared" si="78"/>
        <v>162</v>
      </c>
      <c r="AB146" s="82">
        <f t="shared" si="79"/>
        <v>0</v>
      </c>
      <c r="AC146" s="82" t="str">
        <f t="shared" si="80"/>
        <v>0.22</v>
      </c>
      <c r="AD146" s="83">
        <f t="shared" si="81"/>
        <v>0</v>
      </c>
      <c r="AE146" s="82"/>
    </row>
    <row r="147" customHeight="1" spans="1:31">
      <c r="A147" s="47">
        <v>144</v>
      </c>
      <c r="B147" s="43"/>
      <c r="C147" s="50"/>
      <c r="D147" s="98"/>
      <c r="E147" s="96" t="s">
        <v>255</v>
      </c>
      <c r="F147" s="43" t="s">
        <v>302</v>
      </c>
      <c r="G147" s="46" t="s">
        <v>148</v>
      </c>
      <c r="H147" s="97"/>
      <c r="I147" s="63">
        <v>216</v>
      </c>
      <c r="J147" s="64"/>
      <c r="K147" s="64">
        <f t="shared" si="82"/>
        <v>0</v>
      </c>
      <c r="L147" s="43" t="s">
        <v>245</v>
      </c>
      <c r="M147" s="65" t="str">
        <f>VLOOKUP(L147,{"甲级","1.2";"乙级","1";"丙级","0.8";"物探","0.22"},2,0)</f>
        <v>0.22</v>
      </c>
      <c r="N147" s="64">
        <f t="shared" si="83"/>
        <v>0</v>
      </c>
      <c r="O147" s="64">
        <f t="shared" si="84"/>
        <v>0</v>
      </c>
      <c r="P147" s="69" t="s">
        <v>304</v>
      </c>
      <c r="Q147" s="76"/>
      <c r="R147" s="77">
        <f t="shared" si="85"/>
        <v>0</v>
      </c>
      <c r="S147" s="72">
        <f t="shared" si="72"/>
        <v>0</v>
      </c>
      <c r="T147" s="72">
        <f t="shared" si="73"/>
        <v>216</v>
      </c>
      <c r="U147" s="72">
        <f t="shared" si="74"/>
        <v>0</v>
      </c>
      <c r="V147" s="72" t="str">
        <f t="shared" si="75"/>
        <v>0.22</v>
      </c>
      <c r="W147" s="73">
        <f t="shared" si="76"/>
        <v>0</v>
      </c>
      <c r="X147" s="72"/>
      <c r="Y147" s="82"/>
      <c r="Z147" s="82">
        <f t="shared" si="77"/>
        <v>0</v>
      </c>
      <c r="AA147" s="82">
        <f t="shared" si="78"/>
        <v>216</v>
      </c>
      <c r="AB147" s="82">
        <f t="shared" si="79"/>
        <v>0</v>
      </c>
      <c r="AC147" s="82" t="str">
        <f t="shared" si="80"/>
        <v>0.22</v>
      </c>
      <c r="AD147" s="83">
        <f t="shared" si="81"/>
        <v>0</v>
      </c>
      <c r="AE147" s="82"/>
    </row>
    <row r="148" customHeight="1" spans="1:31">
      <c r="A148" s="43">
        <v>145</v>
      </c>
      <c r="B148" s="43"/>
      <c r="C148" s="50"/>
      <c r="D148" s="98"/>
      <c r="E148" s="96" t="s">
        <v>305</v>
      </c>
      <c r="F148" s="43" t="s">
        <v>302</v>
      </c>
      <c r="G148" s="46" t="s">
        <v>148</v>
      </c>
      <c r="H148" s="97"/>
      <c r="I148" s="63">
        <f>I147*1.3</f>
        <v>280.8</v>
      </c>
      <c r="J148" s="64"/>
      <c r="K148" s="64">
        <f t="shared" si="82"/>
        <v>0</v>
      </c>
      <c r="L148" s="43" t="s">
        <v>245</v>
      </c>
      <c r="M148" s="65" t="str">
        <f>VLOOKUP(L148,{"甲级","1.2";"乙级","1";"丙级","0.8";"物探","0.22"},2,0)</f>
        <v>0.22</v>
      </c>
      <c r="N148" s="64">
        <f t="shared" si="83"/>
        <v>0</v>
      </c>
      <c r="O148" s="64">
        <f t="shared" si="84"/>
        <v>0</v>
      </c>
      <c r="P148" s="69" t="s">
        <v>246</v>
      </c>
      <c r="Q148" s="76"/>
      <c r="R148" s="77">
        <f t="shared" si="85"/>
        <v>0</v>
      </c>
      <c r="S148" s="72">
        <f t="shared" si="72"/>
        <v>0</v>
      </c>
      <c r="T148" s="72">
        <f t="shared" si="73"/>
        <v>280.8</v>
      </c>
      <c r="U148" s="72">
        <f t="shared" si="74"/>
        <v>0</v>
      </c>
      <c r="V148" s="72" t="str">
        <f t="shared" si="75"/>
        <v>0.22</v>
      </c>
      <c r="W148" s="73">
        <f t="shared" si="76"/>
        <v>0</v>
      </c>
      <c r="X148" s="72"/>
      <c r="Y148" s="82"/>
      <c r="Z148" s="82">
        <f t="shared" si="77"/>
        <v>0</v>
      </c>
      <c r="AA148" s="82">
        <f t="shared" si="78"/>
        <v>280.8</v>
      </c>
      <c r="AB148" s="82">
        <f t="shared" si="79"/>
        <v>0</v>
      </c>
      <c r="AC148" s="82" t="str">
        <f t="shared" si="80"/>
        <v>0.22</v>
      </c>
      <c r="AD148" s="83">
        <f t="shared" si="81"/>
        <v>0</v>
      </c>
      <c r="AE148" s="82"/>
    </row>
    <row r="149" customHeight="1" spans="1:31">
      <c r="A149" s="47">
        <v>146</v>
      </c>
      <c r="B149" s="43"/>
      <c r="C149" s="50"/>
      <c r="D149" s="98"/>
      <c r="E149" s="96" t="s">
        <v>306</v>
      </c>
      <c r="F149" s="43" t="s">
        <v>302</v>
      </c>
      <c r="G149" s="46" t="s">
        <v>148</v>
      </c>
      <c r="H149" s="97"/>
      <c r="I149" s="63">
        <f t="shared" ref="I149:I165" si="86">I148*1.3</f>
        <v>365.04</v>
      </c>
      <c r="J149" s="64"/>
      <c r="K149" s="64">
        <f t="shared" si="82"/>
        <v>0</v>
      </c>
      <c r="L149" s="43" t="s">
        <v>245</v>
      </c>
      <c r="M149" s="65" t="str">
        <f>VLOOKUP(L149,{"甲级","1.2";"乙级","1";"丙级","0.8";"物探","0.22"},2,0)</f>
        <v>0.22</v>
      </c>
      <c r="N149" s="64">
        <f t="shared" si="83"/>
        <v>0</v>
      </c>
      <c r="O149" s="64">
        <f t="shared" si="84"/>
        <v>0</v>
      </c>
      <c r="P149" s="69" t="s">
        <v>246</v>
      </c>
      <c r="Q149" s="76"/>
      <c r="R149" s="77">
        <f t="shared" si="85"/>
        <v>0</v>
      </c>
      <c r="S149" s="72">
        <f t="shared" si="72"/>
        <v>0</v>
      </c>
      <c r="T149" s="72">
        <f t="shared" si="73"/>
        <v>365.04</v>
      </c>
      <c r="U149" s="72">
        <f t="shared" si="74"/>
        <v>0</v>
      </c>
      <c r="V149" s="72" t="str">
        <f t="shared" si="75"/>
        <v>0.22</v>
      </c>
      <c r="W149" s="73">
        <f t="shared" si="76"/>
        <v>0</v>
      </c>
      <c r="X149" s="72"/>
      <c r="Y149" s="82"/>
      <c r="Z149" s="82">
        <f t="shared" si="77"/>
        <v>0</v>
      </c>
      <c r="AA149" s="82">
        <f t="shared" si="78"/>
        <v>365.04</v>
      </c>
      <c r="AB149" s="82">
        <f t="shared" si="79"/>
        <v>0</v>
      </c>
      <c r="AC149" s="82" t="str">
        <f t="shared" si="80"/>
        <v>0.22</v>
      </c>
      <c r="AD149" s="83">
        <f t="shared" si="81"/>
        <v>0</v>
      </c>
      <c r="AE149" s="82"/>
    </row>
    <row r="150" customHeight="1" spans="1:31">
      <c r="A150" s="43">
        <v>147</v>
      </c>
      <c r="B150" s="43"/>
      <c r="C150" s="50"/>
      <c r="D150" s="98"/>
      <c r="E150" s="96" t="s">
        <v>307</v>
      </c>
      <c r="F150" s="43" t="s">
        <v>302</v>
      </c>
      <c r="G150" s="46" t="s">
        <v>148</v>
      </c>
      <c r="H150" s="97"/>
      <c r="I150" s="63">
        <f t="shared" si="86"/>
        <v>474.552</v>
      </c>
      <c r="J150" s="64"/>
      <c r="K150" s="64">
        <f t="shared" si="82"/>
        <v>0</v>
      </c>
      <c r="L150" s="43" t="s">
        <v>245</v>
      </c>
      <c r="M150" s="65" t="str">
        <f>VLOOKUP(L150,{"甲级","1.2";"乙级","1";"丙级","0.8";"物探","0.22"},2,0)</f>
        <v>0.22</v>
      </c>
      <c r="N150" s="64">
        <f t="shared" si="83"/>
        <v>0</v>
      </c>
      <c r="O150" s="64">
        <f t="shared" si="84"/>
        <v>0</v>
      </c>
      <c r="P150" s="69" t="s">
        <v>246</v>
      </c>
      <c r="Q150" s="76"/>
      <c r="R150" s="77">
        <f t="shared" si="85"/>
        <v>0</v>
      </c>
      <c r="S150" s="72">
        <f t="shared" si="72"/>
        <v>0</v>
      </c>
      <c r="T150" s="72">
        <f t="shared" si="73"/>
        <v>474.552</v>
      </c>
      <c r="U150" s="72">
        <f t="shared" si="74"/>
        <v>0</v>
      </c>
      <c r="V150" s="72" t="str">
        <f t="shared" si="75"/>
        <v>0.22</v>
      </c>
      <c r="W150" s="73">
        <f t="shared" si="76"/>
        <v>0</v>
      </c>
      <c r="X150" s="72"/>
      <c r="Y150" s="82"/>
      <c r="Z150" s="82">
        <f t="shared" si="77"/>
        <v>0</v>
      </c>
      <c r="AA150" s="82">
        <f t="shared" si="78"/>
        <v>474.552</v>
      </c>
      <c r="AB150" s="82">
        <f t="shared" si="79"/>
        <v>0</v>
      </c>
      <c r="AC150" s="82" t="str">
        <f t="shared" si="80"/>
        <v>0.22</v>
      </c>
      <c r="AD150" s="83">
        <f t="shared" si="81"/>
        <v>0</v>
      </c>
      <c r="AE150" s="82"/>
    </row>
    <row r="151" customHeight="1" spans="1:31">
      <c r="A151" s="47">
        <v>148</v>
      </c>
      <c r="B151" s="43"/>
      <c r="C151" s="50"/>
      <c r="D151" s="98"/>
      <c r="E151" s="96" t="s">
        <v>308</v>
      </c>
      <c r="F151" s="43" t="s">
        <v>302</v>
      </c>
      <c r="G151" s="46" t="s">
        <v>148</v>
      </c>
      <c r="H151" s="97"/>
      <c r="I151" s="63">
        <f t="shared" si="86"/>
        <v>616.9176</v>
      </c>
      <c r="J151" s="64"/>
      <c r="K151" s="64">
        <f t="shared" si="82"/>
        <v>0</v>
      </c>
      <c r="L151" s="43" t="s">
        <v>245</v>
      </c>
      <c r="M151" s="65" t="str">
        <f>VLOOKUP(L151,{"甲级","1.2";"乙级","1";"丙级","0.8";"物探","0.22"},2,0)</f>
        <v>0.22</v>
      </c>
      <c r="N151" s="64">
        <f t="shared" si="83"/>
        <v>0</v>
      </c>
      <c r="O151" s="64">
        <f t="shared" si="84"/>
        <v>0</v>
      </c>
      <c r="P151" s="69" t="s">
        <v>246</v>
      </c>
      <c r="Q151" s="76"/>
      <c r="R151" s="77">
        <f t="shared" si="85"/>
        <v>0</v>
      </c>
      <c r="S151" s="72">
        <f t="shared" si="72"/>
        <v>0</v>
      </c>
      <c r="T151" s="72">
        <f t="shared" si="73"/>
        <v>616.9176</v>
      </c>
      <c r="U151" s="72">
        <f t="shared" si="74"/>
        <v>0</v>
      </c>
      <c r="V151" s="72" t="str">
        <f t="shared" si="75"/>
        <v>0.22</v>
      </c>
      <c r="W151" s="73">
        <f t="shared" si="76"/>
        <v>0</v>
      </c>
      <c r="X151" s="72"/>
      <c r="Y151" s="82"/>
      <c r="Z151" s="82">
        <f t="shared" si="77"/>
        <v>0</v>
      </c>
      <c r="AA151" s="82">
        <f t="shared" si="78"/>
        <v>616.9176</v>
      </c>
      <c r="AB151" s="82">
        <f t="shared" si="79"/>
        <v>0</v>
      </c>
      <c r="AC151" s="82" t="str">
        <f t="shared" si="80"/>
        <v>0.22</v>
      </c>
      <c r="AD151" s="83">
        <f t="shared" si="81"/>
        <v>0</v>
      </c>
      <c r="AE151" s="82"/>
    </row>
    <row r="152" customHeight="1" spans="1:31">
      <c r="A152" s="43">
        <v>149</v>
      </c>
      <c r="B152" s="43"/>
      <c r="C152" s="50"/>
      <c r="D152" s="98"/>
      <c r="E152" s="96" t="s">
        <v>309</v>
      </c>
      <c r="F152" s="43" t="s">
        <v>302</v>
      </c>
      <c r="G152" s="46" t="s">
        <v>148</v>
      </c>
      <c r="H152" s="97"/>
      <c r="I152" s="63">
        <f t="shared" si="86"/>
        <v>801.99288</v>
      </c>
      <c r="J152" s="64"/>
      <c r="K152" s="64">
        <f t="shared" si="82"/>
        <v>0</v>
      </c>
      <c r="L152" s="43" t="s">
        <v>245</v>
      </c>
      <c r="M152" s="65" t="str">
        <f>VLOOKUP(L152,{"甲级","1.2";"乙级","1";"丙级","0.8";"物探","0.22"},2,0)</f>
        <v>0.22</v>
      </c>
      <c r="N152" s="64">
        <f t="shared" si="83"/>
        <v>0</v>
      </c>
      <c r="O152" s="64">
        <f t="shared" si="84"/>
        <v>0</v>
      </c>
      <c r="P152" s="69" t="s">
        <v>246</v>
      </c>
      <c r="Q152" s="76"/>
      <c r="R152" s="77">
        <f t="shared" si="85"/>
        <v>0</v>
      </c>
      <c r="S152" s="72">
        <f t="shared" si="72"/>
        <v>0</v>
      </c>
      <c r="T152" s="72">
        <f t="shared" si="73"/>
        <v>801.99288</v>
      </c>
      <c r="U152" s="72">
        <f t="shared" si="74"/>
        <v>0</v>
      </c>
      <c r="V152" s="72" t="str">
        <f t="shared" si="75"/>
        <v>0.22</v>
      </c>
      <c r="W152" s="73">
        <f t="shared" si="76"/>
        <v>0</v>
      </c>
      <c r="X152" s="72"/>
      <c r="Y152" s="82"/>
      <c r="Z152" s="82">
        <f t="shared" si="77"/>
        <v>0</v>
      </c>
      <c r="AA152" s="82">
        <f t="shared" si="78"/>
        <v>801.99288</v>
      </c>
      <c r="AB152" s="82">
        <f t="shared" si="79"/>
        <v>0</v>
      </c>
      <c r="AC152" s="82" t="str">
        <f t="shared" si="80"/>
        <v>0.22</v>
      </c>
      <c r="AD152" s="83">
        <f t="shared" si="81"/>
        <v>0</v>
      </c>
      <c r="AE152" s="82"/>
    </row>
    <row r="153" customHeight="1" spans="1:31">
      <c r="A153" s="47">
        <v>150</v>
      </c>
      <c r="B153" s="43"/>
      <c r="C153" s="50"/>
      <c r="D153" s="98"/>
      <c r="E153" s="96" t="s">
        <v>310</v>
      </c>
      <c r="F153" s="43" t="s">
        <v>302</v>
      </c>
      <c r="G153" s="46" t="s">
        <v>148</v>
      </c>
      <c r="H153" s="97"/>
      <c r="I153" s="63">
        <f t="shared" si="86"/>
        <v>1042.590744</v>
      </c>
      <c r="J153" s="64"/>
      <c r="K153" s="64">
        <f t="shared" si="82"/>
        <v>0</v>
      </c>
      <c r="L153" s="43" t="s">
        <v>245</v>
      </c>
      <c r="M153" s="65" t="str">
        <f>VLOOKUP(L153,{"甲级","1.2";"乙级","1";"丙级","0.8";"物探","0.22"},2,0)</f>
        <v>0.22</v>
      </c>
      <c r="N153" s="64">
        <f t="shared" si="83"/>
        <v>0</v>
      </c>
      <c r="O153" s="64">
        <f t="shared" si="84"/>
        <v>0</v>
      </c>
      <c r="P153" s="69" t="s">
        <v>246</v>
      </c>
      <c r="Q153" s="76"/>
      <c r="R153" s="77">
        <f t="shared" si="85"/>
        <v>0</v>
      </c>
      <c r="S153" s="72">
        <f t="shared" si="72"/>
        <v>0</v>
      </c>
      <c r="T153" s="72">
        <f t="shared" si="73"/>
        <v>1042.590744</v>
      </c>
      <c r="U153" s="72">
        <f t="shared" si="74"/>
        <v>0</v>
      </c>
      <c r="V153" s="72" t="str">
        <f t="shared" si="75"/>
        <v>0.22</v>
      </c>
      <c r="W153" s="73">
        <f t="shared" si="76"/>
        <v>0</v>
      </c>
      <c r="X153" s="72"/>
      <c r="Y153" s="82"/>
      <c r="Z153" s="82">
        <f t="shared" si="77"/>
        <v>0</v>
      </c>
      <c r="AA153" s="82">
        <f t="shared" si="78"/>
        <v>1042.590744</v>
      </c>
      <c r="AB153" s="82">
        <f t="shared" si="79"/>
        <v>0</v>
      </c>
      <c r="AC153" s="82" t="str">
        <f t="shared" si="80"/>
        <v>0.22</v>
      </c>
      <c r="AD153" s="83">
        <f t="shared" si="81"/>
        <v>0</v>
      </c>
      <c r="AE153" s="82"/>
    </row>
    <row r="154" customHeight="1" spans="1:31">
      <c r="A154" s="43">
        <v>151</v>
      </c>
      <c r="B154" s="43"/>
      <c r="C154" s="50"/>
      <c r="D154" s="98"/>
      <c r="E154" s="96" t="s">
        <v>311</v>
      </c>
      <c r="F154" s="43" t="s">
        <v>302</v>
      </c>
      <c r="G154" s="46" t="s">
        <v>148</v>
      </c>
      <c r="H154" s="97"/>
      <c r="I154" s="63">
        <f t="shared" si="86"/>
        <v>1355.3679672</v>
      </c>
      <c r="J154" s="64"/>
      <c r="K154" s="64">
        <f t="shared" si="82"/>
        <v>0</v>
      </c>
      <c r="L154" s="43" t="s">
        <v>245</v>
      </c>
      <c r="M154" s="65" t="str">
        <f>VLOOKUP(L154,{"甲级","1.2";"乙级","1";"丙级","0.8";"物探","0.22"},2,0)</f>
        <v>0.22</v>
      </c>
      <c r="N154" s="64">
        <f t="shared" si="83"/>
        <v>0</v>
      </c>
      <c r="O154" s="64">
        <f t="shared" si="84"/>
        <v>0</v>
      </c>
      <c r="P154" s="69" t="s">
        <v>246</v>
      </c>
      <c r="Q154" s="76"/>
      <c r="R154" s="77">
        <f t="shared" si="85"/>
        <v>0</v>
      </c>
      <c r="S154" s="72">
        <f t="shared" si="72"/>
        <v>0</v>
      </c>
      <c r="T154" s="72">
        <f t="shared" si="73"/>
        <v>1355.3679672</v>
      </c>
      <c r="U154" s="72">
        <f t="shared" si="74"/>
        <v>0</v>
      </c>
      <c r="V154" s="72" t="str">
        <f t="shared" si="75"/>
        <v>0.22</v>
      </c>
      <c r="W154" s="73">
        <f t="shared" si="76"/>
        <v>0</v>
      </c>
      <c r="X154" s="72"/>
      <c r="Y154" s="82"/>
      <c r="Z154" s="82">
        <f t="shared" si="77"/>
        <v>0</v>
      </c>
      <c r="AA154" s="82">
        <f t="shared" si="78"/>
        <v>1355.3679672</v>
      </c>
      <c r="AB154" s="82">
        <f t="shared" si="79"/>
        <v>0</v>
      </c>
      <c r="AC154" s="82" t="str">
        <f t="shared" si="80"/>
        <v>0.22</v>
      </c>
      <c r="AD154" s="83">
        <f t="shared" si="81"/>
        <v>0</v>
      </c>
      <c r="AE154" s="82"/>
    </row>
    <row r="155" customHeight="1" spans="1:31">
      <c r="A155" s="47">
        <v>152</v>
      </c>
      <c r="B155" s="43"/>
      <c r="C155" s="50"/>
      <c r="D155" s="98"/>
      <c r="E155" s="96" t="s">
        <v>312</v>
      </c>
      <c r="F155" s="43" t="s">
        <v>302</v>
      </c>
      <c r="G155" s="46" t="s">
        <v>148</v>
      </c>
      <c r="H155" s="97"/>
      <c r="I155" s="63">
        <f t="shared" si="86"/>
        <v>1761.97835736</v>
      </c>
      <c r="J155" s="64"/>
      <c r="K155" s="64">
        <f t="shared" si="82"/>
        <v>0</v>
      </c>
      <c r="L155" s="43" t="s">
        <v>245</v>
      </c>
      <c r="M155" s="65" t="str">
        <f>VLOOKUP(L155,{"甲级","1.2";"乙级","1";"丙级","0.8";"物探","0.22"},2,0)</f>
        <v>0.22</v>
      </c>
      <c r="N155" s="64">
        <f t="shared" si="83"/>
        <v>0</v>
      </c>
      <c r="O155" s="64">
        <f t="shared" si="84"/>
        <v>0</v>
      </c>
      <c r="P155" s="69" t="s">
        <v>246</v>
      </c>
      <c r="Q155" s="76"/>
      <c r="R155" s="77">
        <f t="shared" si="85"/>
        <v>0</v>
      </c>
      <c r="S155" s="72">
        <f t="shared" si="72"/>
        <v>0</v>
      </c>
      <c r="T155" s="72">
        <f t="shared" si="73"/>
        <v>1761.97835736</v>
      </c>
      <c r="U155" s="72">
        <f t="shared" si="74"/>
        <v>0</v>
      </c>
      <c r="V155" s="72" t="str">
        <f t="shared" si="75"/>
        <v>0.22</v>
      </c>
      <c r="W155" s="73">
        <f t="shared" si="76"/>
        <v>0</v>
      </c>
      <c r="X155" s="72"/>
      <c r="Y155" s="82"/>
      <c r="Z155" s="82">
        <f t="shared" si="77"/>
        <v>0</v>
      </c>
      <c r="AA155" s="82">
        <f t="shared" si="78"/>
        <v>1761.97835736</v>
      </c>
      <c r="AB155" s="82">
        <f t="shared" si="79"/>
        <v>0</v>
      </c>
      <c r="AC155" s="82" t="str">
        <f t="shared" si="80"/>
        <v>0.22</v>
      </c>
      <c r="AD155" s="83">
        <f t="shared" si="81"/>
        <v>0</v>
      </c>
      <c r="AE155" s="82"/>
    </row>
    <row r="156" customHeight="1" spans="1:31">
      <c r="A156" s="43">
        <v>153</v>
      </c>
      <c r="B156" s="43"/>
      <c r="C156" s="50"/>
      <c r="D156" s="98"/>
      <c r="E156" s="96" t="s">
        <v>313</v>
      </c>
      <c r="F156" s="43" t="s">
        <v>302</v>
      </c>
      <c r="G156" s="46" t="s">
        <v>148</v>
      </c>
      <c r="H156" s="46"/>
      <c r="I156" s="63">
        <f t="shared" si="86"/>
        <v>2290.571864568</v>
      </c>
      <c r="J156" s="64"/>
      <c r="K156" s="64">
        <f t="shared" si="82"/>
        <v>0</v>
      </c>
      <c r="L156" s="43" t="s">
        <v>245</v>
      </c>
      <c r="M156" s="65" t="str">
        <f>VLOOKUP(L156,{"甲级","1.2";"乙级","1";"丙级","0.8";"物探","0.22"},2,0)</f>
        <v>0.22</v>
      </c>
      <c r="N156" s="64">
        <f t="shared" si="83"/>
        <v>0</v>
      </c>
      <c r="O156" s="64">
        <f t="shared" si="84"/>
        <v>0</v>
      </c>
      <c r="P156" s="69" t="s">
        <v>246</v>
      </c>
      <c r="Q156" s="76"/>
      <c r="R156" s="77">
        <f t="shared" si="85"/>
        <v>0</v>
      </c>
      <c r="S156" s="72">
        <f t="shared" si="72"/>
        <v>0</v>
      </c>
      <c r="T156" s="72">
        <f t="shared" si="73"/>
        <v>2290.571864568</v>
      </c>
      <c r="U156" s="72">
        <f t="shared" si="74"/>
        <v>0</v>
      </c>
      <c r="V156" s="72" t="str">
        <f t="shared" si="75"/>
        <v>0.22</v>
      </c>
      <c r="W156" s="73">
        <f t="shared" si="76"/>
        <v>0</v>
      </c>
      <c r="X156" s="72"/>
      <c r="Y156" s="82"/>
      <c r="Z156" s="82">
        <f t="shared" si="77"/>
        <v>0</v>
      </c>
      <c r="AA156" s="82">
        <f t="shared" si="78"/>
        <v>2290.571864568</v>
      </c>
      <c r="AB156" s="82">
        <f t="shared" si="79"/>
        <v>0</v>
      </c>
      <c r="AC156" s="82" t="str">
        <f t="shared" si="80"/>
        <v>0.22</v>
      </c>
      <c r="AD156" s="83">
        <f t="shared" si="81"/>
        <v>0</v>
      </c>
      <c r="AE156" s="82"/>
    </row>
    <row r="157" customHeight="1" spans="1:31">
      <c r="A157" s="47">
        <v>154</v>
      </c>
      <c r="B157" s="43"/>
      <c r="C157" s="50"/>
      <c r="D157" s="98"/>
      <c r="E157" s="96" t="s">
        <v>314</v>
      </c>
      <c r="F157" s="43" t="s">
        <v>302</v>
      </c>
      <c r="G157" s="46" t="s">
        <v>148</v>
      </c>
      <c r="H157" s="46"/>
      <c r="I157" s="63">
        <f t="shared" si="86"/>
        <v>2977.7434239384</v>
      </c>
      <c r="J157" s="64"/>
      <c r="K157" s="64">
        <f t="shared" si="82"/>
        <v>0</v>
      </c>
      <c r="L157" s="43" t="s">
        <v>245</v>
      </c>
      <c r="M157" s="65" t="str">
        <f>VLOOKUP(L157,{"甲级","1.2";"乙级","1";"丙级","0.8";"物探","0.22"},2,0)</f>
        <v>0.22</v>
      </c>
      <c r="N157" s="64">
        <f t="shared" si="83"/>
        <v>0</v>
      </c>
      <c r="O157" s="64">
        <f t="shared" si="84"/>
        <v>0</v>
      </c>
      <c r="P157" s="69" t="s">
        <v>246</v>
      </c>
      <c r="Q157" s="76"/>
      <c r="R157" s="77">
        <f t="shared" si="85"/>
        <v>0</v>
      </c>
      <c r="S157" s="72">
        <f t="shared" si="72"/>
        <v>0</v>
      </c>
      <c r="T157" s="72">
        <f t="shared" si="73"/>
        <v>2977.7434239384</v>
      </c>
      <c r="U157" s="72">
        <f t="shared" si="74"/>
        <v>0</v>
      </c>
      <c r="V157" s="72" t="str">
        <f t="shared" si="75"/>
        <v>0.22</v>
      </c>
      <c r="W157" s="73">
        <f t="shared" si="76"/>
        <v>0</v>
      </c>
      <c r="X157" s="72"/>
      <c r="Y157" s="82"/>
      <c r="Z157" s="82">
        <f t="shared" si="77"/>
        <v>0</v>
      </c>
      <c r="AA157" s="82">
        <f t="shared" si="78"/>
        <v>2977.7434239384</v>
      </c>
      <c r="AB157" s="82">
        <f t="shared" si="79"/>
        <v>0</v>
      </c>
      <c r="AC157" s="82" t="str">
        <f t="shared" si="80"/>
        <v>0.22</v>
      </c>
      <c r="AD157" s="83">
        <f t="shared" si="81"/>
        <v>0</v>
      </c>
      <c r="AE157" s="82"/>
    </row>
    <row r="158" customHeight="1" spans="1:31">
      <c r="A158" s="43">
        <v>155</v>
      </c>
      <c r="B158" s="43"/>
      <c r="C158" s="50"/>
      <c r="D158" s="98"/>
      <c r="E158" s="96" t="s">
        <v>315</v>
      </c>
      <c r="F158" s="43" t="s">
        <v>302</v>
      </c>
      <c r="G158" s="46" t="s">
        <v>148</v>
      </c>
      <c r="H158" s="46"/>
      <c r="I158" s="63">
        <f t="shared" si="86"/>
        <v>3871.06645111992</v>
      </c>
      <c r="J158" s="64"/>
      <c r="K158" s="64">
        <f t="shared" si="82"/>
        <v>0</v>
      </c>
      <c r="L158" s="43" t="s">
        <v>245</v>
      </c>
      <c r="M158" s="65" t="str">
        <f>VLOOKUP(L158,{"甲级","1.2";"乙级","1";"丙级","0.8";"物探","0.22"},2,0)</f>
        <v>0.22</v>
      </c>
      <c r="N158" s="64">
        <f t="shared" si="83"/>
        <v>0</v>
      </c>
      <c r="O158" s="64">
        <f t="shared" si="84"/>
        <v>0</v>
      </c>
      <c r="P158" s="69" t="s">
        <v>246</v>
      </c>
      <c r="Q158" s="76"/>
      <c r="R158" s="77">
        <f t="shared" si="85"/>
        <v>0</v>
      </c>
      <c r="S158" s="72">
        <f t="shared" si="72"/>
        <v>0</v>
      </c>
      <c r="T158" s="72">
        <f t="shared" si="73"/>
        <v>3871.06645111992</v>
      </c>
      <c r="U158" s="72">
        <f t="shared" si="74"/>
        <v>0</v>
      </c>
      <c r="V158" s="72" t="str">
        <f t="shared" si="75"/>
        <v>0.22</v>
      </c>
      <c r="W158" s="73">
        <f t="shared" si="76"/>
        <v>0</v>
      </c>
      <c r="X158" s="72"/>
      <c r="Y158" s="82"/>
      <c r="Z158" s="82">
        <f t="shared" si="77"/>
        <v>0</v>
      </c>
      <c r="AA158" s="82">
        <f t="shared" si="78"/>
        <v>3871.06645111992</v>
      </c>
      <c r="AB158" s="82">
        <f t="shared" si="79"/>
        <v>0</v>
      </c>
      <c r="AC158" s="82" t="str">
        <f t="shared" si="80"/>
        <v>0.22</v>
      </c>
      <c r="AD158" s="83">
        <f t="shared" si="81"/>
        <v>0</v>
      </c>
      <c r="AE158" s="82"/>
    </row>
    <row r="159" customHeight="1" spans="1:31">
      <c r="A159" s="47">
        <v>156</v>
      </c>
      <c r="B159" s="43"/>
      <c r="C159" s="50"/>
      <c r="D159" s="98"/>
      <c r="E159" s="96" t="s">
        <v>316</v>
      </c>
      <c r="F159" s="43" t="s">
        <v>302</v>
      </c>
      <c r="G159" s="46" t="s">
        <v>148</v>
      </c>
      <c r="H159" s="46"/>
      <c r="I159" s="63">
        <f t="shared" si="86"/>
        <v>5032.3863864559</v>
      </c>
      <c r="J159" s="64"/>
      <c r="K159" s="64">
        <f t="shared" si="82"/>
        <v>0</v>
      </c>
      <c r="L159" s="43" t="s">
        <v>245</v>
      </c>
      <c r="M159" s="65" t="str">
        <f>VLOOKUP(L159,{"甲级","1.2";"乙级","1";"丙级","0.8";"物探","0.22"},2,0)</f>
        <v>0.22</v>
      </c>
      <c r="N159" s="64">
        <f t="shared" si="83"/>
        <v>0</v>
      </c>
      <c r="O159" s="64">
        <f t="shared" si="84"/>
        <v>0</v>
      </c>
      <c r="P159" s="69" t="s">
        <v>246</v>
      </c>
      <c r="Q159" s="76"/>
      <c r="R159" s="77">
        <f t="shared" si="85"/>
        <v>0</v>
      </c>
      <c r="S159" s="72">
        <f t="shared" si="72"/>
        <v>0</v>
      </c>
      <c r="T159" s="72">
        <f t="shared" si="73"/>
        <v>5032.3863864559</v>
      </c>
      <c r="U159" s="72">
        <f t="shared" si="74"/>
        <v>0</v>
      </c>
      <c r="V159" s="72" t="str">
        <f t="shared" si="75"/>
        <v>0.22</v>
      </c>
      <c r="W159" s="73">
        <f t="shared" si="76"/>
        <v>0</v>
      </c>
      <c r="X159" s="72"/>
      <c r="Y159" s="82"/>
      <c r="Z159" s="82">
        <f t="shared" si="77"/>
        <v>0</v>
      </c>
      <c r="AA159" s="82">
        <f t="shared" si="78"/>
        <v>5032.3863864559</v>
      </c>
      <c r="AB159" s="82">
        <f t="shared" si="79"/>
        <v>0</v>
      </c>
      <c r="AC159" s="82" t="str">
        <f t="shared" si="80"/>
        <v>0.22</v>
      </c>
      <c r="AD159" s="83">
        <f t="shared" si="81"/>
        <v>0</v>
      </c>
      <c r="AE159" s="82"/>
    </row>
    <row r="160" customHeight="1" spans="1:31">
      <c r="A160" s="43">
        <v>157</v>
      </c>
      <c r="B160" s="43"/>
      <c r="C160" s="50"/>
      <c r="D160" s="98"/>
      <c r="E160" s="96" t="s">
        <v>317</v>
      </c>
      <c r="F160" s="43" t="s">
        <v>302</v>
      </c>
      <c r="G160" s="46" t="s">
        <v>148</v>
      </c>
      <c r="H160" s="46"/>
      <c r="I160" s="63">
        <f t="shared" si="86"/>
        <v>6542.10230239267</v>
      </c>
      <c r="J160" s="64"/>
      <c r="K160" s="64">
        <f t="shared" si="82"/>
        <v>0</v>
      </c>
      <c r="L160" s="43" t="s">
        <v>245</v>
      </c>
      <c r="M160" s="65" t="str">
        <f>VLOOKUP(L160,{"甲级","1.2";"乙级","1";"丙级","0.8";"物探","0.22"},2,0)</f>
        <v>0.22</v>
      </c>
      <c r="N160" s="64">
        <f t="shared" si="83"/>
        <v>0</v>
      </c>
      <c r="O160" s="64">
        <f t="shared" si="84"/>
        <v>0</v>
      </c>
      <c r="P160" s="69" t="s">
        <v>246</v>
      </c>
      <c r="Q160" s="76"/>
      <c r="R160" s="77">
        <f t="shared" si="85"/>
        <v>0</v>
      </c>
      <c r="S160" s="72">
        <f t="shared" si="72"/>
        <v>0</v>
      </c>
      <c r="T160" s="72">
        <f t="shared" si="73"/>
        <v>6542.10230239267</v>
      </c>
      <c r="U160" s="72">
        <f t="shared" si="74"/>
        <v>0</v>
      </c>
      <c r="V160" s="72" t="str">
        <f t="shared" si="75"/>
        <v>0.22</v>
      </c>
      <c r="W160" s="73">
        <f t="shared" si="76"/>
        <v>0</v>
      </c>
      <c r="X160" s="72"/>
      <c r="Y160" s="82"/>
      <c r="Z160" s="82">
        <f t="shared" si="77"/>
        <v>0</v>
      </c>
      <c r="AA160" s="82">
        <f t="shared" si="78"/>
        <v>6542.10230239267</v>
      </c>
      <c r="AB160" s="82">
        <f t="shared" si="79"/>
        <v>0</v>
      </c>
      <c r="AC160" s="82" t="str">
        <f t="shared" si="80"/>
        <v>0.22</v>
      </c>
      <c r="AD160" s="83">
        <f t="shared" si="81"/>
        <v>0</v>
      </c>
      <c r="AE160" s="82"/>
    </row>
    <row r="161" customHeight="1" spans="1:31">
      <c r="A161" s="47">
        <v>158</v>
      </c>
      <c r="B161" s="43"/>
      <c r="C161" s="50"/>
      <c r="D161" s="98"/>
      <c r="E161" s="96" t="s">
        <v>318</v>
      </c>
      <c r="F161" s="43" t="s">
        <v>302</v>
      </c>
      <c r="G161" s="46" t="s">
        <v>148</v>
      </c>
      <c r="H161" s="46"/>
      <c r="I161" s="63">
        <f t="shared" si="86"/>
        <v>8504.73299311047</v>
      </c>
      <c r="J161" s="64"/>
      <c r="K161" s="64">
        <f t="shared" si="82"/>
        <v>0</v>
      </c>
      <c r="L161" s="43" t="s">
        <v>245</v>
      </c>
      <c r="M161" s="65" t="str">
        <f>VLOOKUP(L161,{"甲级","1.2";"乙级","1";"丙级","0.8";"物探","0.22"},2,0)</f>
        <v>0.22</v>
      </c>
      <c r="N161" s="64">
        <f t="shared" si="83"/>
        <v>0</v>
      </c>
      <c r="O161" s="64">
        <f t="shared" si="84"/>
        <v>0</v>
      </c>
      <c r="P161" s="69" t="s">
        <v>246</v>
      </c>
      <c r="Q161" s="76"/>
      <c r="R161" s="77">
        <f t="shared" si="85"/>
        <v>0</v>
      </c>
      <c r="S161" s="72">
        <f t="shared" si="72"/>
        <v>0</v>
      </c>
      <c r="T161" s="72">
        <f t="shared" si="73"/>
        <v>8504.73299311047</v>
      </c>
      <c r="U161" s="72">
        <f t="shared" si="74"/>
        <v>0</v>
      </c>
      <c r="V161" s="72" t="str">
        <f t="shared" si="75"/>
        <v>0.22</v>
      </c>
      <c r="W161" s="73">
        <f t="shared" si="76"/>
        <v>0</v>
      </c>
      <c r="X161" s="72"/>
      <c r="Y161" s="82"/>
      <c r="Z161" s="82">
        <f t="shared" si="77"/>
        <v>0</v>
      </c>
      <c r="AA161" s="82">
        <f t="shared" si="78"/>
        <v>8504.73299311047</v>
      </c>
      <c r="AB161" s="82">
        <f t="shared" si="79"/>
        <v>0</v>
      </c>
      <c r="AC161" s="82" t="str">
        <f t="shared" si="80"/>
        <v>0.22</v>
      </c>
      <c r="AD161" s="83">
        <f t="shared" si="81"/>
        <v>0</v>
      </c>
      <c r="AE161" s="82"/>
    </row>
    <row r="162" customHeight="1" spans="1:31">
      <c r="A162" s="43">
        <v>159</v>
      </c>
      <c r="B162" s="43"/>
      <c r="C162" s="50"/>
      <c r="D162" s="98"/>
      <c r="E162" s="96" t="s">
        <v>319</v>
      </c>
      <c r="F162" s="43" t="s">
        <v>302</v>
      </c>
      <c r="G162" s="46" t="s">
        <v>148</v>
      </c>
      <c r="H162" s="46"/>
      <c r="I162" s="63">
        <f t="shared" si="86"/>
        <v>11056.1528910436</v>
      </c>
      <c r="J162" s="64"/>
      <c r="K162" s="64">
        <f t="shared" si="82"/>
        <v>0</v>
      </c>
      <c r="L162" s="43" t="s">
        <v>245</v>
      </c>
      <c r="M162" s="65" t="str">
        <f>VLOOKUP(L162,{"甲级","1.2";"乙级","1";"丙级","0.8";"物探","0.22"},2,0)</f>
        <v>0.22</v>
      </c>
      <c r="N162" s="64">
        <f t="shared" si="83"/>
        <v>0</v>
      </c>
      <c r="O162" s="64">
        <f t="shared" si="84"/>
        <v>0</v>
      </c>
      <c r="P162" s="69" t="s">
        <v>246</v>
      </c>
      <c r="Q162" s="76"/>
      <c r="R162" s="77">
        <f t="shared" si="85"/>
        <v>0</v>
      </c>
      <c r="S162" s="72">
        <f t="shared" si="72"/>
        <v>0</v>
      </c>
      <c r="T162" s="72">
        <f t="shared" si="73"/>
        <v>11056.1528910436</v>
      </c>
      <c r="U162" s="72">
        <f t="shared" si="74"/>
        <v>0</v>
      </c>
      <c r="V162" s="72" t="str">
        <f t="shared" si="75"/>
        <v>0.22</v>
      </c>
      <c r="W162" s="73">
        <f t="shared" si="76"/>
        <v>0</v>
      </c>
      <c r="X162" s="72"/>
      <c r="Y162" s="82"/>
      <c r="Z162" s="82">
        <f t="shared" si="77"/>
        <v>0</v>
      </c>
      <c r="AA162" s="82">
        <f t="shared" si="78"/>
        <v>11056.1528910436</v>
      </c>
      <c r="AB162" s="82">
        <f t="shared" si="79"/>
        <v>0</v>
      </c>
      <c r="AC162" s="82" t="str">
        <f t="shared" si="80"/>
        <v>0.22</v>
      </c>
      <c r="AD162" s="83">
        <f t="shared" si="81"/>
        <v>0</v>
      </c>
      <c r="AE162" s="82"/>
    </row>
    <row r="163" customHeight="1" spans="1:31">
      <c r="A163" s="47">
        <v>160</v>
      </c>
      <c r="B163" s="43"/>
      <c r="C163" s="50"/>
      <c r="D163" s="98"/>
      <c r="E163" s="96" t="s">
        <v>320</v>
      </c>
      <c r="F163" s="43" t="s">
        <v>302</v>
      </c>
      <c r="G163" s="46" t="s">
        <v>148</v>
      </c>
      <c r="H163" s="46"/>
      <c r="I163" s="63">
        <f t="shared" si="86"/>
        <v>14372.9987583567</v>
      </c>
      <c r="J163" s="64"/>
      <c r="K163" s="64">
        <f t="shared" si="82"/>
        <v>0</v>
      </c>
      <c r="L163" s="43" t="s">
        <v>245</v>
      </c>
      <c r="M163" s="65" t="str">
        <f>VLOOKUP(L163,{"甲级","1.2";"乙级","1";"丙级","0.8";"物探","0.22"},2,0)</f>
        <v>0.22</v>
      </c>
      <c r="N163" s="64">
        <f t="shared" si="83"/>
        <v>0</v>
      </c>
      <c r="O163" s="64">
        <f t="shared" si="84"/>
        <v>0</v>
      </c>
      <c r="P163" s="69" t="s">
        <v>246</v>
      </c>
      <c r="Q163" s="76"/>
      <c r="R163" s="77">
        <f t="shared" si="85"/>
        <v>0</v>
      </c>
      <c r="S163" s="72">
        <f t="shared" si="72"/>
        <v>0</v>
      </c>
      <c r="T163" s="72">
        <f t="shared" si="73"/>
        <v>14372.9987583567</v>
      </c>
      <c r="U163" s="72">
        <f t="shared" si="74"/>
        <v>0</v>
      </c>
      <c r="V163" s="72" t="str">
        <f t="shared" si="75"/>
        <v>0.22</v>
      </c>
      <c r="W163" s="73">
        <f t="shared" si="76"/>
        <v>0</v>
      </c>
      <c r="X163" s="72"/>
      <c r="Y163" s="82"/>
      <c r="Z163" s="82">
        <f t="shared" si="77"/>
        <v>0</v>
      </c>
      <c r="AA163" s="82">
        <f t="shared" si="78"/>
        <v>14372.9987583567</v>
      </c>
      <c r="AB163" s="82">
        <f t="shared" si="79"/>
        <v>0</v>
      </c>
      <c r="AC163" s="82" t="str">
        <f t="shared" si="80"/>
        <v>0.22</v>
      </c>
      <c r="AD163" s="83">
        <f t="shared" si="81"/>
        <v>0</v>
      </c>
      <c r="AE163" s="82"/>
    </row>
    <row r="164" customHeight="1" spans="1:31">
      <c r="A164" s="43">
        <v>161</v>
      </c>
      <c r="B164" s="43"/>
      <c r="C164" s="50"/>
      <c r="D164" s="98"/>
      <c r="E164" s="96" t="s">
        <v>321</v>
      </c>
      <c r="F164" s="43" t="s">
        <v>302</v>
      </c>
      <c r="G164" s="46" t="s">
        <v>148</v>
      </c>
      <c r="H164" s="46"/>
      <c r="I164" s="63">
        <f t="shared" si="86"/>
        <v>18684.8983858637</v>
      </c>
      <c r="J164" s="64"/>
      <c r="K164" s="64">
        <f t="shared" si="82"/>
        <v>0</v>
      </c>
      <c r="L164" s="43" t="s">
        <v>245</v>
      </c>
      <c r="M164" s="65" t="str">
        <f>VLOOKUP(L164,{"甲级","1.2";"乙级","1";"丙级","0.8";"物探","0.22"},2,0)</f>
        <v>0.22</v>
      </c>
      <c r="N164" s="64">
        <f t="shared" si="83"/>
        <v>0</v>
      </c>
      <c r="O164" s="64">
        <f t="shared" si="84"/>
        <v>0</v>
      </c>
      <c r="P164" s="69" t="s">
        <v>246</v>
      </c>
      <c r="Q164" s="76"/>
      <c r="R164" s="77">
        <f t="shared" si="85"/>
        <v>0</v>
      </c>
      <c r="S164" s="72">
        <f t="shared" si="72"/>
        <v>0</v>
      </c>
      <c r="T164" s="72">
        <f t="shared" si="73"/>
        <v>18684.8983858637</v>
      </c>
      <c r="U164" s="72">
        <f t="shared" si="74"/>
        <v>0</v>
      </c>
      <c r="V164" s="72" t="str">
        <f t="shared" si="75"/>
        <v>0.22</v>
      </c>
      <c r="W164" s="73">
        <f t="shared" si="76"/>
        <v>0</v>
      </c>
      <c r="X164" s="72"/>
      <c r="Y164" s="82"/>
      <c r="Z164" s="82">
        <f t="shared" si="77"/>
        <v>0</v>
      </c>
      <c r="AA164" s="82">
        <f t="shared" si="78"/>
        <v>18684.8983858637</v>
      </c>
      <c r="AB164" s="82">
        <f t="shared" si="79"/>
        <v>0</v>
      </c>
      <c r="AC164" s="82" t="str">
        <f t="shared" si="80"/>
        <v>0.22</v>
      </c>
      <c r="AD164" s="83">
        <f t="shared" si="81"/>
        <v>0</v>
      </c>
      <c r="AE164" s="82"/>
    </row>
    <row r="165" customHeight="1" spans="1:31">
      <c r="A165" s="47">
        <v>162</v>
      </c>
      <c r="B165" s="43"/>
      <c r="C165" s="86"/>
      <c r="D165" s="94"/>
      <c r="E165" s="96" t="s">
        <v>322</v>
      </c>
      <c r="F165" s="43" t="s">
        <v>302</v>
      </c>
      <c r="G165" s="46" t="s">
        <v>148</v>
      </c>
      <c r="H165" s="46"/>
      <c r="I165" s="63">
        <f t="shared" si="86"/>
        <v>24290.3679016228</v>
      </c>
      <c r="J165" s="64"/>
      <c r="K165" s="64">
        <f t="shared" si="82"/>
        <v>0</v>
      </c>
      <c r="L165" s="43" t="s">
        <v>245</v>
      </c>
      <c r="M165" s="65" t="str">
        <f>VLOOKUP(L165,{"甲级","1.2";"乙级","1";"丙级","0.8";"物探","0.22"},2,0)</f>
        <v>0.22</v>
      </c>
      <c r="N165" s="64">
        <f t="shared" si="83"/>
        <v>0</v>
      </c>
      <c r="O165" s="64">
        <f t="shared" si="84"/>
        <v>0</v>
      </c>
      <c r="P165" s="69" t="s">
        <v>246</v>
      </c>
      <c r="Q165" s="76"/>
      <c r="R165" s="77">
        <f t="shared" si="85"/>
        <v>0</v>
      </c>
      <c r="S165" s="72">
        <f t="shared" si="72"/>
        <v>0</v>
      </c>
      <c r="T165" s="72">
        <f t="shared" si="73"/>
        <v>24290.3679016228</v>
      </c>
      <c r="U165" s="72">
        <f t="shared" si="74"/>
        <v>0</v>
      </c>
      <c r="V165" s="72" t="str">
        <f t="shared" si="75"/>
        <v>0.22</v>
      </c>
      <c r="W165" s="73">
        <f t="shared" si="76"/>
        <v>0</v>
      </c>
      <c r="X165" s="72"/>
      <c r="Y165" s="82"/>
      <c r="Z165" s="82">
        <f t="shared" si="77"/>
        <v>0</v>
      </c>
      <c r="AA165" s="82">
        <f t="shared" si="78"/>
        <v>24290.3679016228</v>
      </c>
      <c r="AB165" s="82">
        <f t="shared" si="79"/>
        <v>0</v>
      </c>
      <c r="AC165" s="82" t="str">
        <f t="shared" si="80"/>
        <v>0.22</v>
      </c>
      <c r="AD165" s="83">
        <f t="shared" si="81"/>
        <v>0</v>
      </c>
      <c r="AE165" s="82"/>
    </row>
    <row r="166" customHeight="1" spans="1:31">
      <c r="A166" s="43">
        <v>163</v>
      </c>
      <c r="B166" s="43"/>
      <c r="C166" s="43" t="s">
        <v>323</v>
      </c>
      <c r="D166" s="43" t="s">
        <v>324</v>
      </c>
      <c r="E166" s="45"/>
      <c r="F166" s="43"/>
      <c r="G166" s="46" t="s">
        <v>70</v>
      </c>
      <c r="H166" s="46"/>
      <c r="I166" s="63">
        <v>4500</v>
      </c>
      <c r="J166" s="64"/>
      <c r="K166" s="64">
        <f t="shared" ref="K166:K172" si="87">I166*H166*J166</f>
        <v>0</v>
      </c>
      <c r="L166" s="43" t="s">
        <v>245</v>
      </c>
      <c r="M166" s="65" t="str">
        <f>VLOOKUP(L166,{"甲级","1.2";"乙级","1";"丙级","0.8";"物探","0.22"},2,0)</f>
        <v>0.22</v>
      </c>
      <c r="N166" s="64">
        <f t="shared" ref="N166:N172" si="88">K166*M166</f>
        <v>0</v>
      </c>
      <c r="O166" s="64">
        <f t="shared" ref="O166:O172" si="89">K166+N166</f>
        <v>0</v>
      </c>
      <c r="P166" s="69" t="s">
        <v>246</v>
      </c>
      <c r="Q166" s="76"/>
      <c r="R166" s="77">
        <f t="shared" si="85"/>
        <v>0</v>
      </c>
      <c r="S166" s="72">
        <f t="shared" si="72"/>
        <v>0</v>
      </c>
      <c r="T166" s="72">
        <f t="shared" si="73"/>
        <v>4500</v>
      </c>
      <c r="U166" s="72">
        <f t="shared" si="74"/>
        <v>0</v>
      </c>
      <c r="V166" s="72" t="str">
        <f t="shared" si="75"/>
        <v>0.22</v>
      </c>
      <c r="W166" s="73">
        <f t="shared" si="76"/>
        <v>0</v>
      </c>
      <c r="X166" s="72"/>
      <c r="Y166" s="82"/>
      <c r="Z166" s="82">
        <f t="shared" si="77"/>
        <v>0</v>
      </c>
      <c r="AA166" s="82">
        <f t="shared" si="78"/>
        <v>4500</v>
      </c>
      <c r="AB166" s="82">
        <f t="shared" si="79"/>
        <v>0</v>
      </c>
      <c r="AC166" s="82" t="str">
        <f t="shared" si="80"/>
        <v>0.22</v>
      </c>
      <c r="AD166" s="83">
        <f t="shared" si="81"/>
        <v>0</v>
      </c>
      <c r="AE166" s="82"/>
    </row>
    <row r="167" customHeight="1" spans="1:31">
      <c r="A167" s="47">
        <v>164</v>
      </c>
      <c r="B167" s="43" t="s">
        <v>325</v>
      </c>
      <c r="C167" s="43" t="s">
        <v>326</v>
      </c>
      <c r="D167" s="43" t="s">
        <v>327</v>
      </c>
      <c r="E167" s="43"/>
      <c r="F167" s="43"/>
      <c r="G167" s="46" t="s">
        <v>191</v>
      </c>
      <c r="H167" s="46"/>
      <c r="I167" s="63">
        <v>8</v>
      </c>
      <c r="J167" s="64"/>
      <c r="K167" s="64">
        <f t="shared" si="87"/>
        <v>0</v>
      </c>
      <c r="L167" s="43" t="s">
        <v>328</v>
      </c>
      <c r="M167" s="65" t="str">
        <f>VLOOKUP(L167,{"甲级","1.2";"乙级","1.0";"丙级","0.8";"试验","0.1"},2,0)</f>
        <v>0.1</v>
      </c>
      <c r="N167" s="64">
        <f t="shared" si="88"/>
        <v>0</v>
      </c>
      <c r="O167" s="64">
        <f t="shared" si="89"/>
        <v>0</v>
      </c>
      <c r="P167" s="69" t="s">
        <v>329</v>
      </c>
      <c r="Q167" s="76"/>
      <c r="R167" s="77">
        <f t="shared" si="85"/>
        <v>0</v>
      </c>
      <c r="S167" s="72">
        <f t="shared" si="72"/>
        <v>0</v>
      </c>
      <c r="T167" s="72">
        <f t="shared" si="73"/>
        <v>8</v>
      </c>
      <c r="U167" s="72">
        <f t="shared" si="74"/>
        <v>0</v>
      </c>
      <c r="V167" s="72" t="str">
        <f t="shared" si="75"/>
        <v>0.1</v>
      </c>
      <c r="W167" s="73">
        <f t="shared" si="76"/>
        <v>0</v>
      </c>
      <c r="X167" s="72"/>
      <c r="Y167" s="82"/>
      <c r="Z167" s="82">
        <f t="shared" si="77"/>
        <v>0</v>
      </c>
      <c r="AA167" s="82">
        <f t="shared" si="78"/>
        <v>8</v>
      </c>
      <c r="AB167" s="82">
        <f t="shared" si="79"/>
        <v>0</v>
      </c>
      <c r="AC167" s="82" t="str">
        <f t="shared" si="80"/>
        <v>0.1</v>
      </c>
      <c r="AD167" s="83">
        <f t="shared" si="81"/>
        <v>0</v>
      </c>
      <c r="AE167" s="82"/>
    </row>
    <row r="168" customHeight="1" spans="1:31">
      <c r="A168" s="43">
        <v>165</v>
      </c>
      <c r="B168" s="43"/>
      <c r="C168" s="43"/>
      <c r="D168" s="43" t="s">
        <v>330</v>
      </c>
      <c r="E168" s="45" t="s">
        <v>331</v>
      </c>
      <c r="F168" s="43"/>
      <c r="G168" s="46" t="s">
        <v>191</v>
      </c>
      <c r="H168" s="46"/>
      <c r="I168" s="63">
        <v>8</v>
      </c>
      <c r="J168" s="64"/>
      <c r="K168" s="64">
        <f t="shared" si="87"/>
        <v>0</v>
      </c>
      <c r="L168" s="43" t="s">
        <v>328</v>
      </c>
      <c r="M168" s="65" t="str">
        <f>VLOOKUP(L168,{"甲级","1.2";"乙级","1.0";"丙级","0.8";"试验","0.1"},2,0)</f>
        <v>0.1</v>
      </c>
      <c r="N168" s="64">
        <f t="shared" si="88"/>
        <v>0</v>
      </c>
      <c r="O168" s="64">
        <f t="shared" si="89"/>
        <v>0</v>
      </c>
      <c r="P168" s="69" t="s">
        <v>329</v>
      </c>
      <c r="Q168" s="76"/>
      <c r="R168" s="77">
        <f t="shared" si="85"/>
        <v>0</v>
      </c>
      <c r="S168" s="72">
        <f t="shared" si="72"/>
        <v>0</v>
      </c>
      <c r="T168" s="72">
        <f t="shared" si="73"/>
        <v>8</v>
      </c>
      <c r="U168" s="72">
        <f t="shared" si="74"/>
        <v>0</v>
      </c>
      <c r="V168" s="72" t="str">
        <f t="shared" si="75"/>
        <v>0.1</v>
      </c>
      <c r="W168" s="73">
        <f t="shared" si="76"/>
        <v>0</v>
      </c>
      <c r="X168" s="72"/>
      <c r="Y168" s="82"/>
      <c r="Z168" s="82">
        <f t="shared" si="77"/>
        <v>0</v>
      </c>
      <c r="AA168" s="82">
        <f t="shared" si="78"/>
        <v>8</v>
      </c>
      <c r="AB168" s="82">
        <f t="shared" si="79"/>
        <v>0</v>
      </c>
      <c r="AC168" s="82" t="str">
        <f t="shared" si="80"/>
        <v>0.1</v>
      </c>
      <c r="AD168" s="83">
        <f t="shared" si="81"/>
        <v>0</v>
      </c>
      <c r="AE168" s="82"/>
    </row>
    <row r="169" customHeight="1" spans="1:31">
      <c r="A169" s="47">
        <v>166</v>
      </c>
      <c r="B169" s="43"/>
      <c r="C169" s="43"/>
      <c r="D169" s="43" t="s">
        <v>332</v>
      </c>
      <c r="E169" s="45"/>
      <c r="F169" s="43"/>
      <c r="G169" s="46" t="s">
        <v>191</v>
      </c>
      <c r="H169" s="46"/>
      <c r="I169" s="63">
        <v>19</v>
      </c>
      <c r="J169" s="64"/>
      <c r="K169" s="64">
        <f t="shared" si="87"/>
        <v>0</v>
      </c>
      <c r="L169" s="43" t="s">
        <v>328</v>
      </c>
      <c r="M169" s="65" t="str">
        <f>VLOOKUP(L169,{"甲级","1.2";"乙级","1.0";"丙级","0.8";"试验","0.1"},2,0)</f>
        <v>0.1</v>
      </c>
      <c r="N169" s="64">
        <f t="shared" si="88"/>
        <v>0</v>
      </c>
      <c r="O169" s="64">
        <f t="shared" si="89"/>
        <v>0</v>
      </c>
      <c r="P169" s="69" t="s">
        <v>329</v>
      </c>
      <c r="Q169" s="76"/>
      <c r="R169" s="77">
        <f t="shared" si="85"/>
        <v>0</v>
      </c>
      <c r="S169" s="72">
        <f t="shared" si="72"/>
        <v>0</v>
      </c>
      <c r="T169" s="72">
        <f t="shared" si="73"/>
        <v>19</v>
      </c>
      <c r="U169" s="72">
        <f t="shared" si="74"/>
        <v>0</v>
      </c>
      <c r="V169" s="72" t="str">
        <f t="shared" si="75"/>
        <v>0.1</v>
      </c>
      <c r="W169" s="73">
        <f t="shared" si="76"/>
        <v>0</v>
      </c>
      <c r="X169" s="72"/>
      <c r="Y169" s="82"/>
      <c r="Z169" s="82">
        <f t="shared" si="77"/>
        <v>0</v>
      </c>
      <c r="AA169" s="82">
        <f t="shared" si="78"/>
        <v>19</v>
      </c>
      <c r="AB169" s="82">
        <f t="shared" si="79"/>
        <v>0</v>
      </c>
      <c r="AC169" s="82" t="str">
        <f t="shared" si="80"/>
        <v>0.1</v>
      </c>
      <c r="AD169" s="83">
        <f t="shared" si="81"/>
        <v>0</v>
      </c>
      <c r="AE169" s="82"/>
    </row>
    <row r="170" customHeight="1" spans="1:31">
      <c r="A170" s="43">
        <v>167</v>
      </c>
      <c r="B170" s="43"/>
      <c r="C170" s="43"/>
      <c r="D170" s="43" t="s">
        <v>333</v>
      </c>
      <c r="E170" s="45" t="s">
        <v>334</v>
      </c>
      <c r="F170" s="43"/>
      <c r="G170" s="46" t="s">
        <v>191</v>
      </c>
      <c r="H170" s="46"/>
      <c r="I170" s="63">
        <v>26</v>
      </c>
      <c r="J170" s="64"/>
      <c r="K170" s="64">
        <f t="shared" si="87"/>
        <v>0</v>
      </c>
      <c r="L170" s="43" t="s">
        <v>328</v>
      </c>
      <c r="M170" s="65" t="str">
        <f>VLOOKUP(L170,{"甲级","1.2";"乙级","1.0";"丙级","0.8";"试验","0.1"},2,0)</f>
        <v>0.1</v>
      </c>
      <c r="N170" s="64">
        <f t="shared" si="88"/>
        <v>0</v>
      </c>
      <c r="O170" s="64">
        <f t="shared" si="89"/>
        <v>0</v>
      </c>
      <c r="P170" s="69" t="s">
        <v>329</v>
      </c>
      <c r="Q170" s="76"/>
      <c r="R170" s="77">
        <f t="shared" si="85"/>
        <v>0</v>
      </c>
      <c r="S170" s="72">
        <f t="shared" si="72"/>
        <v>0</v>
      </c>
      <c r="T170" s="72">
        <f t="shared" si="73"/>
        <v>26</v>
      </c>
      <c r="U170" s="72">
        <f t="shared" si="74"/>
        <v>0</v>
      </c>
      <c r="V170" s="72" t="str">
        <f t="shared" si="75"/>
        <v>0.1</v>
      </c>
      <c r="W170" s="73">
        <f t="shared" si="76"/>
        <v>0</v>
      </c>
      <c r="X170" s="72"/>
      <c r="Y170" s="82"/>
      <c r="Z170" s="82">
        <f t="shared" si="77"/>
        <v>0</v>
      </c>
      <c r="AA170" s="82">
        <f t="shared" si="78"/>
        <v>26</v>
      </c>
      <c r="AB170" s="82">
        <f t="shared" si="79"/>
        <v>0</v>
      </c>
      <c r="AC170" s="82" t="str">
        <f t="shared" si="80"/>
        <v>0.1</v>
      </c>
      <c r="AD170" s="83">
        <f t="shared" si="81"/>
        <v>0</v>
      </c>
      <c r="AE170" s="82"/>
    </row>
    <row r="171" customHeight="1" spans="1:31">
      <c r="A171" s="47">
        <v>168</v>
      </c>
      <c r="B171" s="43"/>
      <c r="C171" s="43"/>
      <c r="D171" s="43"/>
      <c r="E171" s="45" t="s">
        <v>335</v>
      </c>
      <c r="F171" s="43"/>
      <c r="G171" s="46" t="s">
        <v>191</v>
      </c>
      <c r="H171" s="46"/>
      <c r="I171" s="63">
        <v>40</v>
      </c>
      <c r="J171" s="64"/>
      <c r="K171" s="64">
        <f t="shared" si="87"/>
        <v>0</v>
      </c>
      <c r="L171" s="43" t="s">
        <v>328</v>
      </c>
      <c r="M171" s="65" t="str">
        <f>VLOOKUP(L171,{"甲级","1.2";"乙级","1.0";"丙级","0.8";"试验","0.1"},2,0)</f>
        <v>0.1</v>
      </c>
      <c r="N171" s="64">
        <f t="shared" si="88"/>
        <v>0</v>
      </c>
      <c r="O171" s="64">
        <f t="shared" si="89"/>
        <v>0</v>
      </c>
      <c r="P171" s="69" t="s">
        <v>329</v>
      </c>
      <c r="Q171" s="76"/>
      <c r="R171" s="77">
        <f t="shared" si="85"/>
        <v>0</v>
      </c>
      <c r="S171" s="72">
        <f t="shared" si="72"/>
        <v>0</v>
      </c>
      <c r="T171" s="72">
        <f t="shared" si="73"/>
        <v>40</v>
      </c>
      <c r="U171" s="72">
        <f t="shared" si="74"/>
        <v>0</v>
      </c>
      <c r="V171" s="72" t="str">
        <f t="shared" si="75"/>
        <v>0.1</v>
      </c>
      <c r="W171" s="73">
        <f t="shared" si="76"/>
        <v>0</v>
      </c>
      <c r="X171" s="72"/>
      <c r="Y171" s="82"/>
      <c r="Z171" s="82">
        <f t="shared" si="77"/>
        <v>0</v>
      </c>
      <c r="AA171" s="82">
        <f t="shared" si="78"/>
        <v>40</v>
      </c>
      <c r="AB171" s="82">
        <f t="shared" si="79"/>
        <v>0</v>
      </c>
      <c r="AC171" s="82" t="str">
        <f t="shared" si="80"/>
        <v>0.1</v>
      </c>
      <c r="AD171" s="83">
        <f t="shared" si="81"/>
        <v>0</v>
      </c>
      <c r="AE171" s="82"/>
    </row>
    <row r="172" customHeight="1" spans="1:31">
      <c r="A172" s="43">
        <v>169</v>
      </c>
      <c r="B172" s="43"/>
      <c r="C172" s="43"/>
      <c r="D172" s="43" t="s">
        <v>336</v>
      </c>
      <c r="E172" s="54" t="s">
        <v>337</v>
      </c>
      <c r="F172" s="43"/>
      <c r="G172" s="46" t="s">
        <v>191</v>
      </c>
      <c r="H172" s="46"/>
      <c r="I172" s="63">
        <v>23</v>
      </c>
      <c r="J172" s="64"/>
      <c r="K172" s="64">
        <f t="shared" si="87"/>
        <v>0</v>
      </c>
      <c r="L172" s="43" t="s">
        <v>328</v>
      </c>
      <c r="M172" s="65" t="str">
        <f>VLOOKUP(L172,{"甲级","1.2";"乙级","1.0";"丙级","0.8";"试验","0.1"},2,0)</f>
        <v>0.1</v>
      </c>
      <c r="N172" s="64">
        <f t="shared" si="88"/>
        <v>0</v>
      </c>
      <c r="O172" s="64">
        <f t="shared" si="89"/>
        <v>0</v>
      </c>
      <c r="P172" s="69" t="s">
        <v>329</v>
      </c>
      <c r="Q172" s="76"/>
      <c r="R172" s="77">
        <f t="shared" si="85"/>
        <v>0</v>
      </c>
      <c r="S172" s="72">
        <f t="shared" si="72"/>
        <v>0</v>
      </c>
      <c r="T172" s="72">
        <f t="shared" si="73"/>
        <v>23</v>
      </c>
      <c r="U172" s="72">
        <f t="shared" si="74"/>
        <v>0</v>
      </c>
      <c r="V172" s="72" t="str">
        <f t="shared" si="75"/>
        <v>0.1</v>
      </c>
      <c r="W172" s="73">
        <f t="shared" si="76"/>
        <v>0</v>
      </c>
      <c r="X172" s="72"/>
      <c r="Y172" s="82"/>
      <c r="Z172" s="82">
        <f t="shared" si="77"/>
        <v>0</v>
      </c>
      <c r="AA172" s="82">
        <f t="shared" si="78"/>
        <v>23</v>
      </c>
      <c r="AB172" s="82">
        <f t="shared" si="79"/>
        <v>0</v>
      </c>
      <c r="AC172" s="82" t="str">
        <f t="shared" si="80"/>
        <v>0.1</v>
      </c>
      <c r="AD172" s="83">
        <f t="shared" si="81"/>
        <v>0</v>
      </c>
      <c r="AE172" s="82"/>
    </row>
    <row r="173" customHeight="1" spans="1:31">
      <c r="A173" s="47">
        <v>170</v>
      </c>
      <c r="B173" s="43"/>
      <c r="C173" s="43"/>
      <c r="D173" s="43"/>
      <c r="E173" s="54" t="s">
        <v>338</v>
      </c>
      <c r="F173" s="43"/>
      <c r="G173" s="46" t="s">
        <v>191</v>
      </c>
      <c r="H173" s="46"/>
      <c r="I173" s="63">
        <v>15</v>
      </c>
      <c r="J173" s="64"/>
      <c r="K173" s="64">
        <f t="shared" ref="K173:K193" si="90">I173*H173*J173</f>
        <v>0</v>
      </c>
      <c r="L173" s="43" t="s">
        <v>328</v>
      </c>
      <c r="M173" s="65" t="str">
        <f>VLOOKUP(L173,{"甲级","1.2";"乙级","1.0";"丙级","0.8";"试验","0.1"},2,0)</f>
        <v>0.1</v>
      </c>
      <c r="N173" s="64">
        <f t="shared" ref="N173:N193" si="91">K173*M173</f>
        <v>0</v>
      </c>
      <c r="O173" s="64">
        <f t="shared" ref="O173:O193" si="92">K173+N173</f>
        <v>0</v>
      </c>
      <c r="P173" s="69" t="s">
        <v>329</v>
      </c>
      <c r="Q173" s="76"/>
      <c r="R173" s="77">
        <f t="shared" si="85"/>
        <v>0</v>
      </c>
      <c r="S173" s="72">
        <f t="shared" si="72"/>
        <v>0</v>
      </c>
      <c r="T173" s="72">
        <f t="shared" si="73"/>
        <v>15</v>
      </c>
      <c r="U173" s="72">
        <f t="shared" si="74"/>
        <v>0</v>
      </c>
      <c r="V173" s="72" t="str">
        <f t="shared" si="75"/>
        <v>0.1</v>
      </c>
      <c r="W173" s="73">
        <f t="shared" si="76"/>
        <v>0</v>
      </c>
      <c r="X173" s="72"/>
      <c r="Y173" s="82"/>
      <c r="Z173" s="82">
        <f t="shared" si="77"/>
        <v>0</v>
      </c>
      <c r="AA173" s="82">
        <f t="shared" si="78"/>
        <v>15</v>
      </c>
      <c r="AB173" s="82">
        <f t="shared" si="79"/>
        <v>0</v>
      </c>
      <c r="AC173" s="82" t="str">
        <f t="shared" si="80"/>
        <v>0.1</v>
      </c>
      <c r="AD173" s="83">
        <f t="shared" si="81"/>
        <v>0</v>
      </c>
      <c r="AE173" s="82"/>
    </row>
    <row r="174" customHeight="1" spans="1:31">
      <c r="A174" s="43">
        <v>171</v>
      </c>
      <c r="B174" s="43"/>
      <c r="C174" s="43"/>
      <c r="D174" s="43" t="s">
        <v>339</v>
      </c>
      <c r="E174" s="45"/>
      <c r="F174" s="43"/>
      <c r="G174" s="46" t="s">
        <v>191</v>
      </c>
      <c r="H174" s="46"/>
      <c r="I174" s="63">
        <v>30</v>
      </c>
      <c r="J174" s="64"/>
      <c r="K174" s="64">
        <f t="shared" si="90"/>
        <v>0</v>
      </c>
      <c r="L174" s="43" t="s">
        <v>328</v>
      </c>
      <c r="M174" s="65" t="str">
        <f>VLOOKUP(L174,{"甲级","1.2";"乙级","1.0";"丙级","0.8";"试验","0.1"},2,0)</f>
        <v>0.1</v>
      </c>
      <c r="N174" s="64">
        <f t="shared" si="91"/>
        <v>0</v>
      </c>
      <c r="O174" s="64">
        <f t="shared" si="92"/>
        <v>0</v>
      </c>
      <c r="P174" s="69" t="s">
        <v>329</v>
      </c>
      <c r="Q174" s="76"/>
      <c r="R174" s="77">
        <f t="shared" si="85"/>
        <v>0</v>
      </c>
      <c r="S174" s="72">
        <f t="shared" si="72"/>
        <v>0</v>
      </c>
      <c r="T174" s="72">
        <f t="shared" si="73"/>
        <v>30</v>
      </c>
      <c r="U174" s="72">
        <f t="shared" si="74"/>
        <v>0</v>
      </c>
      <c r="V174" s="72" t="str">
        <f t="shared" si="75"/>
        <v>0.1</v>
      </c>
      <c r="W174" s="73">
        <f t="shared" si="76"/>
        <v>0</v>
      </c>
      <c r="X174" s="72"/>
      <c r="Y174" s="82"/>
      <c r="Z174" s="82">
        <f t="shared" si="77"/>
        <v>0</v>
      </c>
      <c r="AA174" s="82">
        <f t="shared" si="78"/>
        <v>30</v>
      </c>
      <c r="AB174" s="82">
        <f t="shared" si="79"/>
        <v>0</v>
      </c>
      <c r="AC174" s="82" t="str">
        <f t="shared" si="80"/>
        <v>0.1</v>
      </c>
      <c r="AD174" s="83">
        <f t="shared" si="81"/>
        <v>0</v>
      </c>
      <c r="AE174" s="82"/>
    </row>
    <row r="175" customHeight="1" spans="1:31">
      <c r="A175" s="47">
        <v>172</v>
      </c>
      <c r="B175" s="43"/>
      <c r="C175" s="43"/>
      <c r="D175" s="92" t="s">
        <v>340</v>
      </c>
      <c r="E175" s="54" t="s">
        <v>341</v>
      </c>
      <c r="F175" s="43"/>
      <c r="G175" s="46" t="s">
        <v>191</v>
      </c>
      <c r="H175" s="46"/>
      <c r="I175" s="63">
        <v>319</v>
      </c>
      <c r="J175" s="64"/>
      <c r="K175" s="64">
        <f t="shared" si="90"/>
        <v>0</v>
      </c>
      <c r="L175" s="43" t="s">
        <v>328</v>
      </c>
      <c r="M175" s="65" t="str">
        <f>VLOOKUP(L175,{"甲级","1.2";"乙级","1.0";"丙级","0.8";"试验","0.1"},2,0)</f>
        <v>0.1</v>
      </c>
      <c r="N175" s="64">
        <f t="shared" si="91"/>
        <v>0</v>
      </c>
      <c r="O175" s="64">
        <f t="shared" si="92"/>
        <v>0</v>
      </c>
      <c r="P175" s="69" t="s">
        <v>329</v>
      </c>
      <c r="Q175" s="76"/>
      <c r="R175" s="77">
        <f t="shared" si="85"/>
        <v>0</v>
      </c>
      <c r="S175" s="72">
        <f t="shared" si="72"/>
        <v>0</v>
      </c>
      <c r="T175" s="72">
        <f t="shared" si="73"/>
        <v>319</v>
      </c>
      <c r="U175" s="72">
        <f t="shared" si="74"/>
        <v>0</v>
      </c>
      <c r="V175" s="72" t="str">
        <f t="shared" si="75"/>
        <v>0.1</v>
      </c>
      <c r="W175" s="73">
        <f t="shared" si="76"/>
        <v>0</v>
      </c>
      <c r="X175" s="72"/>
      <c r="Y175" s="82"/>
      <c r="Z175" s="82">
        <f t="shared" si="77"/>
        <v>0</v>
      </c>
      <c r="AA175" s="82">
        <f t="shared" si="78"/>
        <v>319</v>
      </c>
      <c r="AB175" s="82">
        <f t="shared" si="79"/>
        <v>0</v>
      </c>
      <c r="AC175" s="82" t="str">
        <f t="shared" si="80"/>
        <v>0.1</v>
      </c>
      <c r="AD175" s="83">
        <f t="shared" si="81"/>
        <v>0</v>
      </c>
      <c r="AE175" s="82"/>
    </row>
    <row r="176" customHeight="1" spans="1:31">
      <c r="A176" s="43">
        <v>173</v>
      </c>
      <c r="B176" s="43"/>
      <c r="C176" s="43"/>
      <c r="D176" s="92"/>
      <c r="E176" s="54" t="s">
        <v>342</v>
      </c>
      <c r="F176" s="43"/>
      <c r="G176" s="46" t="s">
        <v>191</v>
      </c>
      <c r="H176" s="46"/>
      <c r="I176" s="63">
        <v>638</v>
      </c>
      <c r="J176" s="64"/>
      <c r="K176" s="64">
        <f t="shared" si="90"/>
        <v>0</v>
      </c>
      <c r="L176" s="43" t="s">
        <v>328</v>
      </c>
      <c r="M176" s="65" t="str">
        <f>VLOOKUP(L176,{"甲级","1.2";"乙级","1.0";"丙级","0.8";"试验","0.1"},2,0)</f>
        <v>0.1</v>
      </c>
      <c r="N176" s="64">
        <f t="shared" si="91"/>
        <v>0</v>
      </c>
      <c r="O176" s="64">
        <f t="shared" si="92"/>
        <v>0</v>
      </c>
      <c r="P176" s="69" t="s">
        <v>329</v>
      </c>
      <c r="Q176" s="76"/>
      <c r="R176" s="77">
        <f t="shared" si="85"/>
        <v>0</v>
      </c>
      <c r="S176" s="72">
        <f t="shared" si="72"/>
        <v>0</v>
      </c>
      <c r="T176" s="72">
        <f t="shared" si="73"/>
        <v>638</v>
      </c>
      <c r="U176" s="72">
        <f t="shared" si="74"/>
        <v>0</v>
      </c>
      <c r="V176" s="72" t="str">
        <f t="shared" si="75"/>
        <v>0.1</v>
      </c>
      <c r="W176" s="73">
        <f t="shared" si="76"/>
        <v>0</v>
      </c>
      <c r="X176" s="72"/>
      <c r="Y176" s="82"/>
      <c r="Z176" s="82">
        <f t="shared" si="77"/>
        <v>0</v>
      </c>
      <c r="AA176" s="82">
        <f t="shared" si="78"/>
        <v>638</v>
      </c>
      <c r="AB176" s="82">
        <f t="shared" si="79"/>
        <v>0</v>
      </c>
      <c r="AC176" s="82" t="str">
        <f t="shared" si="80"/>
        <v>0.1</v>
      </c>
      <c r="AD176" s="83">
        <f t="shared" si="81"/>
        <v>0</v>
      </c>
      <c r="AE176" s="82"/>
    </row>
    <row r="177" customHeight="1" spans="1:31">
      <c r="A177" s="47">
        <v>174</v>
      </c>
      <c r="B177" s="43"/>
      <c r="C177" s="43"/>
      <c r="D177" s="92" t="s">
        <v>343</v>
      </c>
      <c r="E177" s="54" t="s">
        <v>344</v>
      </c>
      <c r="F177" s="43"/>
      <c r="G177" s="46" t="s">
        <v>191</v>
      </c>
      <c r="H177" s="46"/>
      <c r="I177" s="63">
        <v>55</v>
      </c>
      <c r="J177" s="64"/>
      <c r="K177" s="64">
        <f t="shared" si="90"/>
        <v>0</v>
      </c>
      <c r="L177" s="43" t="s">
        <v>328</v>
      </c>
      <c r="M177" s="65" t="str">
        <f>VLOOKUP(L177,{"甲级","1.2";"乙级","1.0";"丙级","0.8";"试验","0.1"},2,0)</f>
        <v>0.1</v>
      </c>
      <c r="N177" s="64">
        <f t="shared" si="91"/>
        <v>0</v>
      </c>
      <c r="O177" s="64">
        <f t="shared" si="92"/>
        <v>0</v>
      </c>
      <c r="P177" s="69" t="s">
        <v>329</v>
      </c>
      <c r="Q177" s="76"/>
      <c r="R177" s="77">
        <f t="shared" si="85"/>
        <v>0</v>
      </c>
      <c r="S177" s="72">
        <f t="shared" si="72"/>
        <v>0</v>
      </c>
      <c r="T177" s="72">
        <f t="shared" si="73"/>
        <v>55</v>
      </c>
      <c r="U177" s="72">
        <f t="shared" si="74"/>
        <v>0</v>
      </c>
      <c r="V177" s="72" t="str">
        <f t="shared" si="75"/>
        <v>0.1</v>
      </c>
      <c r="W177" s="73">
        <f t="shared" si="76"/>
        <v>0</v>
      </c>
      <c r="X177" s="72"/>
      <c r="Y177" s="82"/>
      <c r="Z177" s="82">
        <f t="shared" si="77"/>
        <v>0</v>
      </c>
      <c r="AA177" s="82">
        <f t="shared" si="78"/>
        <v>55</v>
      </c>
      <c r="AB177" s="82">
        <f t="shared" si="79"/>
        <v>0</v>
      </c>
      <c r="AC177" s="82" t="str">
        <f t="shared" si="80"/>
        <v>0.1</v>
      </c>
      <c r="AD177" s="83">
        <f t="shared" si="81"/>
        <v>0</v>
      </c>
      <c r="AE177" s="82"/>
    </row>
    <row r="178" customHeight="1" spans="1:31">
      <c r="A178" s="43">
        <v>175</v>
      </c>
      <c r="B178" s="43"/>
      <c r="C178" s="43"/>
      <c r="D178" s="92"/>
      <c r="E178" s="54" t="s">
        <v>345</v>
      </c>
      <c r="F178" s="43"/>
      <c r="G178" s="46" t="s">
        <v>191</v>
      </c>
      <c r="H178" s="46"/>
      <c r="I178" s="63">
        <v>29</v>
      </c>
      <c r="J178" s="64"/>
      <c r="K178" s="64">
        <f t="shared" si="90"/>
        <v>0</v>
      </c>
      <c r="L178" s="43" t="s">
        <v>328</v>
      </c>
      <c r="M178" s="65" t="str">
        <f>VLOOKUP(L178,{"甲级","1.2";"乙级","1.0";"丙级","0.8";"试验","0.1"},2,0)</f>
        <v>0.1</v>
      </c>
      <c r="N178" s="64">
        <f t="shared" si="91"/>
        <v>0</v>
      </c>
      <c r="O178" s="64">
        <f t="shared" si="92"/>
        <v>0</v>
      </c>
      <c r="P178" s="69" t="s">
        <v>329</v>
      </c>
      <c r="Q178" s="76"/>
      <c r="R178" s="77">
        <f t="shared" ref="R178:R217" si="93">S178-H178</f>
        <v>0</v>
      </c>
      <c r="S178" s="72">
        <f t="shared" si="72"/>
        <v>0</v>
      </c>
      <c r="T178" s="72">
        <f t="shared" si="73"/>
        <v>29</v>
      </c>
      <c r="U178" s="72">
        <f t="shared" si="74"/>
        <v>0</v>
      </c>
      <c r="V178" s="72" t="str">
        <f t="shared" si="75"/>
        <v>0.1</v>
      </c>
      <c r="W178" s="73">
        <f t="shared" si="76"/>
        <v>0</v>
      </c>
      <c r="X178" s="72"/>
      <c r="Y178" s="82"/>
      <c r="Z178" s="82">
        <f t="shared" si="77"/>
        <v>0</v>
      </c>
      <c r="AA178" s="82">
        <f t="shared" si="78"/>
        <v>29</v>
      </c>
      <c r="AB178" s="82">
        <f t="shared" si="79"/>
        <v>0</v>
      </c>
      <c r="AC178" s="82" t="str">
        <f t="shared" si="80"/>
        <v>0.1</v>
      </c>
      <c r="AD178" s="83">
        <f t="shared" si="81"/>
        <v>0</v>
      </c>
      <c r="AE178" s="82"/>
    </row>
    <row r="179" customHeight="1" spans="1:31">
      <c r="A179" s="47">
        <v>176</v>
      </c>
      <c r="B179" s="43"/>
      <c r="C179" s="43"/>
      <c r="D179" s="92" t="s">
        <v>346</v>
      </c>
      <c r="E179" s="54" t="s">
        <v>347</v>
      </c>
      <c r="F179" s="43"/>
      <c r="G179" s="46" t="s">
        <v>191</v>
      </c>
      <c r="H179" s="46"/>
      <c r="I179" s="91">
        <v>264</v>
      </c>
      <c r="J179" s="64"/>
      <c r="K179" s="64">
        <f t="shared" si="90"/>
        <v>0</v>
      </c>
      <c r="L179" s="43" t="s">
        <v>328</v>
      </c>
      <c r="M179" s="65" t="str">
        <f>VLOOKUP(L179,{"甲级","1.2";"乙级","1.0";"丙级","0.8";"试验","0.1"},2,0)</f>
        <v>0.1</v>
      </c>
      <c r="N179" s="64">
        <f t="shared" si="91"/>
        <v>0</v>
      </c>
      <c r="O179" s="64">
        <f t="shared" si="92"/>
        <v>0</v>
      </c>
      <c r="P179" s="69" t="s">
        <v>329</v>
      </c>
      <c r="Q179" s="76"/>
      <c r="R179" s="77">
        <f t="shared" si="93"/>
        <v>0</v>
      </c>
      <c r="S179" s="72">
        <f t="shared" si="72"/>
        <v>0</v>
      </c>
      <c r="T179" s="72">
        <f t="shared" si="73"/>
        <v>264</v>
      </c>
      <c r="U179" s="72">
        <f t="shared" si="74"/>
        <v>0</v>
      </c>
      <c r="V179" s="72" t="str">
        <f t="shared" si="75"/>
        <v>0.1</v>
      </c>
      <c r="W179" s="73">
        <f t="shared" si="76"/>
        <v>0</v>
      </c>
      <c r="X179" s="72"/>
      <c r="Y179" s="82"/>
      <c r="Z179" s="82">
        <f t="shared" si="77"/>
        <v>0</v>
      </c>
      <c r="AA179" s="82">
        <f t="shared" si="78"/>
        <v>264</v>
      </c>
      <c r="AB179" s="82">
        <f t="shared" si="79"/>
        <v>0</v>
      </c>
      <c r="AC179" s="82" t="str">
        <f t="shared" si="80"/>
        <v>0.1</v>
      </c>
      <c r="AD179" s="83">
        <f t="shared" si="81"/>
        <v>0</v>
      </c>
      <c r="AE179" s="82"/>
    </row>
    <row r="180" customHeight="1" spans="1:31">
      <c r="A180" s="43">
        <v>177</v>
      </c>
      <c r="B180" s="43"/>
      <c r="C180" s="43"/>
      <c r="D180" s="92"/>
      <c r="E180" s="54" t="s">
        <v>348</v>
      </c>
      <c r="F180" s="43"/>
      <c r="G180" s="46" t="s">
        <v>191</v>
      </c>
      <c r="H180" s="46"/>
      <c r="I180" s="91">
        <v>497</v>
      </c>
      <c r="J180" s="64"/>
      <c r="K180" s="64">
        <f t="shared" si="90"/>
        <v>0</v>
      </c>
      <c r="L180" s="43" t="s">
        <v>328</v>
      </c>
      <c r="M180" s="65" t="str">
        <f>VLOOKUP(L180,{"甲级","1.2";"乙级","1.0";"丙级","0.8";"试验","0.1"},2,0)</f>
        <v>0.1</v>
      </c>
      <c r="N180" s="64">
        <f t="shared" si="91"/>
        <v>0</v>
      </c>
      <c r="O180" s="64">
        <f t="shared" si="92"/>
        <v>0</v>
      </c>
      <c r="P180" s="69" t="s">
        <v>329</v>
      </c>
      <c r="Q180" s="76"/>
      <c r="R180" s="77">
        <f t="shared" si="93"/>
        <v>0</v>
      </c>
      <c r="S180" s="72">
        <f t="shared" si="72"/>
        <v>0</v>
      </c>
      <c r="T180" s="72">
        <f t="shared" si="73"/>
        <v>497</v>
      </c>
      <c r="U180" s="72">
        <f t="shared" si="74"/>
        <v>0</v>
      </c>
      <c r="V180" s="72" t="str">
        <f t="shared" si="75"/>
        <v>0.1</v>
      </c>
      <c r="W180" s="73">
        <f t="shared" si="76"/>
        <v>0</v>
      </c>
      <c r="X180" s="72"/>
      <c r="Y180" s="82"/>
      <c r="Z180" s="82">
        <f t="shared" si="77"/>
        <v>0</v>
      </c>
      <c r="AA180" s="82">
        <f t="shared" si="78"/>
        <v>497</v>
      </c>
      <c r="AB180" s="82">
        <f t="shared" si="79"/>
        <v>0</v>
      </c>
      <c r="AC180" s="82" t="str">
        <f t="shared" si="80"/>
        <v>0.1</v>
      </c>
      <c r="AD180" s="83">
        <f t="shared" si="81"/>
        <v>0</v>
      </c>
      <c r="AE180" s="82"/>
    </row>
    <row r="181" customHeight="1" spans="1:31">
      <c r="A181" s="47">
        <v>178</v>
      </c>
      <c r="B181" s="43"/>
      <c r="C181" s="43"/>
      <c r="D181" s="92" t="s">
        <v>349</v>
      </c>
      <c r="E181" s="54" t="s">
        <v>347</v>
      </c>
      <c r="F181" s="43" t="s">
        <v>350</v>
      </c>
      <c r="G181" s="46" t="s">
        <v>191</v>
      </c>
      <c r="H181" s="46"/>
      <c r="I181" s="91">
        <v>40</v>
      </c>
      <c r="J181" s="64"/>
      <c r="K181" s="64">
        <f t="shared" si="90"/>
        <v>0</v>
      </c>
      <c r="L181" s="43" t="s">
        <v>328</v>
      </c>
      <c r="M181" s="65" t="str">
        <f>VLOOKUP(L181,{"甲级","1.2";"乙级","1.0";"丙级","0.8";"试验","0.1"},2,0)</f>
        <v>0.1</v>
      </c>
      <c r="N181" s="64">
        <f t="shared" si="91"/>
        <v>0</v>
      </c>
      <c r="O181" s="64">
        <f t="shared" si="92"/>
        <v>0</v>
      </c>
      <c r="P181" s="69" t="s">
        <v>329</v>
      </c>
      <c r="Q181" s="76"/>
      <c r="R181" s="77">
        <f t="shared" si="93"/>
        <v>0</v>
      </c>
      <c r="S181" s="72">
        <f t="shared" si="72"/>
        <v>0</v>
      </c>
      <c r="T181" s="72">
        <f t="shared" si="73"/>
        <v>40</v>
      </c>
      <c r="U181" s="72">
        <f t="shared" si="74"/>
        <v>0</v>
      </c>
      <c r="V181" s="72" t="str">
        <f t="shared" si="75"/>
        <v>0.1</v>
      </c>
      <c r="W181" s="73">
        <f t="shared" si="76"/>
        <v>0</v>
      </c>
      <c r="X181" s="72"/>
      <c r="Y181" s="82"/>
      <c r="Z181" s="82">
        <f t="shared" si="77"/>
        <v>0</v>
      </c>
      <c r="AA181" s="82">
        <f t="shared" si="78"/>
        <v>40</v>
      </c>
      <c r="AB181" s="82">
        <f t="shared" si="79"/>
        <v>0</v>
      </c>
      <c r="AC181" s="82" t="str">
        <f t="shared" si="80"/>
        <v>0.1</v>
      </c>
      <c r="AD181" s="83">
        <f t="shared" si="81"/>
        <v>0</v>
      </c>
      <c r="AE181" s="82"/>
    </row>
    <row r="182" customHeight="1" spans="1:31">
      <c r="A182" s="43">
        <v>179</v>
      </c>
      <c r="B182" s="43"/>
      <c r="C182" s="43"/>
      <c r="D182" s="92"/>
      <c r="E182" s="54" t="s">
        <v>348</v>
      </c>
      <c r="F182" s="43" t="s">
        <v>350</v>
      </c>
      <c r="G182" s="46" t="s">
        <v>191</v>
      </c>
      <c r="H182" s="46"/>
      <c r="I182" s="91">
        <v>116</v>
      </c>
      <c r="J182" s="64"/>
      <c r="K182" s="64">
        <f t="shared" si="90"/>
        <v>0</v>
      </c>
      <c r="L182" s="43" t="s">
        <v>328</v>
      </c>
      <c r="M182" s="65" t="str">
        <f>VLOOKUP(L182,{"甲级","1.2";"乙级","1.0";"丙级","0.8";"试验","0.1"},2,0)</f>
        <v>0.1</v>
      </c>
      <c r="N182" s="64">
        <f t="shared" si="91"/>
        <v>0</v>
      </c>
      <c r="O182" s="64">
        <f t="shared" si="92"/>
        <v>0</v>
      </c>
      <c r="P182" s="69" t="s">
        <v>329</v>
      </c>
      <c r="Q182" s="76"/>
      <c r="R182" s="77">
        <f t="shared" si="93"/>
        <v>0</v>
      </c>
      <c r="S182" s="72">
        <f t="shared" si="72"/>
        <v>0</v>
      </c>
      <c r="T182" s="72">
        <f t="shared" si="73"/>
        <v>116</v>
      </c>
      <c r="U182" s="72">
        <f t="shared" si="74"/>
        <v>0</v>
      </c>
      <c r="V182" s="72" t="str">
        <f t="shared" si="75"/>
        <v>0.1</v>
      </c>
      <c r="W182" s="73">
        <f t="shared" si="76"/>
        <v>0</v>
      </c>
      <c r="X182" s="72"/>
      <c r="Y182" s="82"/>
      <c r="Z182" s="82">
        <f t="shared" si="77"/>
        <v>0</v>
      </c>
      <c r="AA182" s="82">
        <f t="shared" si="78"/>
        <v>116</v>
      </c>
      <c r="AB182" s="82">
        <f t="shared" si="79"/>
        <v>0</v>
      </c>
      <c r="AC182" s="82" t="str">
        <f t="shared" si="80"/>
        <v>0.1</v>
      </c>
      <c r="AD182" s="83">
        <f t="shared" si="81"/>
        <v>0</v>
      </c>
      <c r="AE182" s="82"/>
    </row>
    <row r="183" customHeight="1" spans="1:31">
      <c r="A183" s="47">
        <v>180</v>
      </c>
      <c r="B183" s="43"/>
      <c r="C183" s="43"/>
      <c r="D183" s="92" t="s">
        <v>351</v>
      </c>
      <c r="E183" s="54" t="s">
        <v>352</v>
      </c>
      <c r="F183" s="43"/>
      <c r="G183" s="92" t="s">
        <v>353</v>
      </c>
      <c r="H183" s="46"/>
      <c r="I183" s="91">
        <v>413</v>
      </c>
      <c r="J183" s="64"/>
      <c r="K183" s="64">
        <f t="shared" si="90"/>
        <v>0</v>
      </c>
      <c r="L183" s="43" t="s">
        <v>328</v>
      </c>
      <c r="M183" s="65" t="str">
        <f>VLOOKUP(L183,{"甲级","1.2";"乙级","1.0";"丙级","0.8";"试验","0.1"},2,0)</f>
        <v>0.1</v>
      </c>
      <c r="N183" s="64">
        <f t="shared" si="91"/>
        <v>0</v>
      </c>
      <c r="O183" s="64">
        <f t="shared" si="92"/>
        <v>0</v>
      </c>
      <c r="P183" s="69" t="s">
        <v>329</v>
      </c>
      <c r="Q183" s="76"/>
      <c r="R183" s="77">
        <f t="shared" si="93"/>
        <v>0</v>
      </c>
      <c r="S183" s="72">
        <f t="shared" si="72"/>
        <v>0</v>
      </c>
      <c r="T183" s="72">
        <f t="shared" si="73"/>
        <v>413</v>
      </c>
      <c r="U183" s="72">
        <f t="shared" si="74"/>
        <v>0</v>
      </c>
      <c r="V183" s="72" t="str">
        <f t="shared" si="75"/>
        <v>0.1</v>
      </c>
      <c r="W183" s="73">
        <f t="shared" si="76"/>
        <v>0</v>
      </c>
      <c r="X183" s="72"/>
      <c r="Y183" s="82"/>
      <c r="Z183" s="82">
        <f t="shared" si="77"/>
        <v>0</v>
      </c>
      <c r="AA183" s="82">
        <f t="shared" si="78"/>
        <v>413</v>
      </c>
      <c r="AB183" s="82">
        <f t="shared" si="79"/>
        <v>0</v>
      </c>
      <c r="AC183" s="82" t="str">
        <f t="shared" si="80"/>
        <v>0.1</v>
      </c>
      <c r="AD183" s="83">
        <f t="shared" si="81"/>
        <v>0</v>
      </c>
      <c r="AE183" s="82"/>
    </row>
    <row r="184" customHeight="1" spans="1:31">
      <c r="A184" s="43">
        <v>181</v>
      </c>
      <c r="B184" s="43"/>
      <c r="C184" s="43"/>
      <c r="D184" s="92"/>
      <c r="E184" s="54" t="s">
        <v>354</v>
      </c>
      <c r="F184" s="43"/>
      <c r="G184" s="92" t="s">
        <v>353</v>
      </c>
      <c r="H184" s="46"/>
      <c r="I184" s="91">
        <v>775</v>
      </c>
      <c r="J184" s="64"/>
      <c r="K184" s="64">
        <f t="shared" si="90"/>
        <v>0</v>
      </c>
      <c r="L184" s="43" t="s">
        <v>328</v>
      </c>
      <c r="M184" s="65" t="str">
        <f>VLOOKUP(L184,{"甲级","1.2";"乙级","1.0";"丙级","0.8";"试验","0.1"},2,0)</f>
        <v>0.1</v>
      </c>
      <c r="N184" s="64">
        <f t="shared" si="91"/>
        <v>0</v>
      </c>
      <c r="O184" s="64">
        <f t="shared" si="92"/>
        <v>0</v>
      </c>
      <c r="P184" s="69" t="s">
        <v>329</v>
      </c>
      <c r="Q184" s="76"/>
      <c r="R184" s="77">
        <f t="shared" si="93"/>
        <v>0</v>
      </c>
      <c r="S184" s="72">
        <f t="shared" si="72"/>
        <v>0</v>
      </c>
      <c r="T184" s="72">
        <f t="shared" si="73"/>
        <v>775</v>
      </c>
      <c r="U184" s="72">
        <f t="shared" si="74"/>
        <v>0</v>
      </c>
      <c r="V184" s="72" t="str">
        <f t="shared" si="75"/>
        <v>0.1</v>
      </c>
      <c r="W184" s="73">
        <f t="shared" si="76"/>
        <v>0</v>
      </c>
      <c r="X184" s="72"/>
      <c r="Y184" s="82"/>
      <c r="Z184" s="82">
        <f t="shared" si="77"/>
        <v>0</v>
      </c>
      <c r="AA184" s="82">
        <f t="shared" si="78"/>
        <v>775</v>
      </c>
      <c r="AB184" s="82">
        <f t="shared" si="79"/>
        <v>0</v>
      </c>
      <c r="AC184" s="82" t="str">
        <f t="shared" si="80"/>
        <v>0.1</v>
      </c>
      <c r="AD184" s="83">
        <f t="shared" si="81"/>
        <v>0</v>
      </c>
      <c r="AE184" s="82"/>
    </row>
    <row r="185" customHeight="1" spans="1:31">
      <c r="A185" s="47">
        <v>182</v>
      </c>
      <c r="B185" s="43"/>
      <c r="C185" s="43"/>
      <c r="D185" s="92"/>
      <c r="E185" s="54" t="s">
        <v>355</v>
      </c>
      <c r="F185" s="43"/>
      <c r="G185" s="92" t="s">
        <v>353</v>
      </c>
      <c r="H185" s="46"/>
      <c r="I185" s="91">
        <v>930</v>
      </c>
      <c r="J185" s="64"/>
      <c r="K185" s="64">
        <f t="shared" si="90"/>
        <v>0</v>
      </c>
      <c r="L185" s="43" t="s">
        <v>328</v>
      </c>
      <c r="M185" s="65" t="str">
        <f>VLOOKUP(L185,{"甲级","1.2";"乙级","1.0";"丙级","0.8";"试验","0.1"},2,0)</f>
        <v>0.1</v>
      </c>
      <c r="N185" s="64">
        <f t="shared" si="91"/>
        <v>0</v>
      </c>
      <c r="O185" s="64">
        <f t="shared" si="92"/>
        <v>0</v>
      </c>
      <c r="P185" s="69" t="s">
        <v>329</v>
      </c>
      <c r="Q185" s="76"/>
      <c r="R185" s="77">
        <f t="shared" si="93"/>
        <v>0</v>
      </c>
      <c r="S185" s="72">
        <f t="shared" si="72"/>
        <v>0</v>
      </c>
      <c r="T185" s="72">
        <f t="shared" si="73"/>
        <v>930</v>
      </c>
      <c r="U185" s="72">
        <f t="shared" si="74"/>
        <v>0</v>
      </c>
      <c r="V185" s="72" t="str">
        <f t="shared" si="75"/>
        <v>0.1</v>
      </c>
      <c r="W185" s="73">
        <f t="shared" si="76"/>
        <v>0</v>
      </c>
      <c r="X185" s="72"/>
      <c r="Y185" s="82"/>
      <c r="Z185" s="82">
        <f t="shared" si="77"/>
        <v>0</v>
      </c>
      <c r="AA185" s="82">
        <f t="shared" si="78"/>
        <v>930</v>
      </c>
      <c r="AB185" s="82">
        <f t="shared" si="79"/>
        <v>0</v>
      </c>
      <c r="AC185" s="82" t="str">
        <f t="shared" si="80"/>
        <v>0.1</v>
      </c>
      <c r="AD185" s="83">
        <f t="shared" si="81"/>
        <v>0</v>
      </c>
      <c r="AE185" s="82"/>
    </row>
    <row r="186" customHeight="1" spans="1:31">
      <c r="A186" s="43">
        <v>183</v>
      </c>
      <c r="B186" s="43"/>
      <c r="C186" s="43"/>
      <c r="D186" s="92"/>
      <c r="E186" s="54" t="s">
        <v>356</v>
      </c>
      <c r="F186" s="43"/>
      <c r="G186" s="92" t="s">
        <v>353</v>
      </c>
      <c r="H186" s="46"/>
      <c r="I186" s="91">
        <v>1240</v>
      </c>
      <c r="J186" s="64"/>
      <c r="K186" s="64">
        <f t="shared" si="90"/>
        <v>0</v>
      </c>
      <c r="L186" s="43" t="s">
        <v>328</v>
      </c>
      <c r="M186" s="65" t="str">
        <f>VLOOKUP(L186,{"甲级","1.2";"乙级","1.0";"丙级","0.8";"试验","0.1"},2,0)</f>
        <v>0.1</v>
      </c>
      <c r="N186" s="64">
        <f t="shared" si="91"/>
        <v>0</v>
      </c>
      <c r="O186" s="64">
        <f t="shared" si="92"/>
        <v>0</v>
      </c>
      <c r="P186" s="69" t="s">
        <v>329</v>
      </c>
      <c r="Q186" s="76"/>
      <c r="R186" s="77">
        <f t="shared" si="93"/>
        <v>0</v>
      </c>
      <c r="S186" s="72">
        <f t="shared" si="72"/>
        <v>0</v>
      </c>
      <c r="T186" s="72">
        <f t="shared" si="73"/>
        <v>1240</v>
      </c>
      <c r="U186" s="72">
        <f t="shared" si="74"/>
        <v>0</v>
      </c>
      <c r="V186" s="72" t="str">
        <f t="shared" si="75"/>
        <v>0.1</v>
      </c>
      <c r="W186" s="73">
        <f t="shared" si="76"/>
        <v>0</v>
      </c>
      <c r="X186" s="72"/>
      <c r="Y186" s="82"/>
      <c r="Z186" s="82">
        <f t="shared" si="77"/>
        <v>0</v>
      </c>
      <c r="AA186" s="82">
        <f t="shared" si="78"/>
        <v>1240</v>
      </c>
      <c r="AB186" s="82">
        <f t="shared" si="79"/>
        <v>0</v>
      </c>
      <c r="AC186" s="82" t="str">
        <f t="shared" si="80"/>
        <v>0.1</v>
      </c>
      <c r="AD186" s="83">
        <f t="shared" si="81"/>
        <v>0</v>
      </c>
      <c r="AE186" s="82"/>
    </row>
    <row r="187" customHeight="1" spans="1:31">
      <c r="A187" s="47">
        <v>184</v>
      </c>
      <c r="B187" s="43"/>
      <c r="C187" s="43"/>
      <c r="D187" s="92" t="s">
        <v>357</v>
      </c>
      <c r="E187" s="54" t="s">
        <v>358</v>
      </c>
      <c r="F187" s="43"/>
      <c r="G187" s="92" t="s">
        <v>353</v>
      </c>
      <c r="H187" s="46"/>
      <c r="I187" s="91">
        <v>49</v>
      </c>
      <c r="J187" s="64"/>
      <c r="K187" s="64">
        <f t="shared" si="90"/>
        <v>0</v>
      </c>
      <c r="L187" s="43" t="s">
        <v>328</v>
      </c>
      <c r="M187" s="65" t="str">
        <f>VLOOKUP(L187,{"甲级","1.2";"乙级","1.0";"丙级","0.8";"试验","0.1"},2,0)</f>
        <v>0.1</v>
      </c>
      <c r="N187" s="64">
        <f t="shared" si="91"/>
        <v>0</v>
      </c>
      <c r="O187" s="64">
        <f t="shared" si="92"/>
        <v>0</v>
      </c>
      <c r="P187" s="69" t="s">
        <v>329</v>
      </c>
      <c r="Q187" s="76"/>
      <c r="R187" s="77">
        <f t="shared" si="93"/>
        <v>0</v>
      </c>
      <c r="S187" s="72">
        <f t="shared" si="72"/>
        <v>0</v>
      </c>
      <c r="T187" s="72">
        <f t="shared" si="73"/>
        <v>49</v>
      </c>
      <c r="U187" s="72">
        <f t="shared" si="74"/>
        <v>0</v>
      </c>
      <c r="V187" s="72" t="str">
        <f t="shared" si="75"/>
        <v>0.1</v>
      </c>
      <c r="W187" s="73">
        <f t="shared" si="76"/>
        <v>0</v>
      </c>
      <c r="X187" s="72"/>
      <c r="Y187" s="82"/>
      <c r="Z187" s="82">
        <f t="shared" si="77"/>
        <v>0</v>
      </c>
      <c r="AA187" s="82">
        <f t="shared" si="78"/>
        <v>49</v>
      </c>
      <c r="AB187" s="82">
        <f t="shared" si="79"/>
        <v>0</v>
      </c>
      <c r="AC187" s="82" t="str">
        <f t="shared" si="80"/>
        <v>0.1</v>
      </c>
      <c r="AD187" s="83">
        <f t="shared" si="81"/>
        <v>0</v>
      </c>
      <c r="AE187" s="82"/>
    </row>
    <row r="188" customHeight="1" spans="1:31">
      <c r="A188" s="43">
        <v>185</v>
      </c>
      <c r="B188" s="43"/>
      <c r="C188" s="43"/>
      <c r="D188" s="92"/>
      <c r="E188" s="54" t="s">
        <v>359</v>
      </c>
      <c r="F188" s="43"/>
      <c r="G188" s="92" t="s">
        <v>353</v>
      </c>
      <c r="H188" s="46"/>
      <c r="I188" s="91">
        <v>71</v>
      </c>
      <c r="J188" s="64"/>
      <c r="K188" s="64">
        <f t="shared" si="90"/>
        <v>0</v>
      </c>
      <c r="L188" s="43" t="s">
        <v>328</v>
      </c>
      <c r="M188" s="65" t="str">
        <f>VLOOKUP(L188,{"甲级","1.2";"乙级","1.0";"丙级","0.8";"试验","0.1"},2,0)</f>
        <v>0.1</v>
      </c>
      <c r="N188" s="64">
        <f t="shared" si="91"/>
        <v>0</v>
      </c>
      <c r="O188" s="64">
        <f t="shared" si="92"/>
        <v>0</v>
      </c>
      <c r="P188" s="69" t="s">
        <v>329</v>
      </c>
      <c r="Q188" s="76"/>
      <c r="R188" s="77">
        <f t="shared" si="93"/>
        <v>0</v>
      </c>
      <c r="S188" s="72">
        <f t="shared" si="72"/>
        <v>0</v>
      </c>
      <c r="T188" s="72">
        <f t="shared" si="73"/>
        <v>71</v>
      </c>
      <c r="U188" s="72">
        <f t="shared" si="74"/>
        <v>0</v>
      </c>
      <c r="V188" s="72" t="str">
        <f t="shared" si="75"/>
        <v>0.1</v>
      </c>
      <c r="W188" s="73">
        <f t="shared" si="76"/>
        <v>0</v>
      </c>
      <c r="X188" s="72"/>
      <c r="Y188" s="82"/>
      <c r="Z188" s="82">
        <f t="shared" si="77"/>
        <v>0</v>
      </c>
      <c r="AA188" s="82">
        <f t="shared" si="78"/>
        <v>71</v>
      </c>
      <c r="AB188" s="82">
        <f t="shared" si="79"/>
        <v>0</v>
      </c>
      <c r="AC188" s="82" t="str">
        <f t="shared" si="80"/>
        <v>0.1</v>
      </c>
      <c r="AD188" s="83">
        <f t="shared" si="81"/>
        <v>0</v>
      </c>
      <c r="AE188" s="82"/>
    </row>
    <row r="189" customHeight="1" spans="1:31">
      <c r="A189" s="47">
        <v>186</v>
      </c>
      <c r="B189" s="43"/>
      <c r="C189" s="43"/>
      <c r="D189" s="92"/>
      <c r="E189" s="54" t="s">
        <v>360</v>
      </c>
      <c r="F189" s="43"/>
      <c r="G189" s="92" t="s">
        <v>353</v>
      </c>
      <c r="H189" s="46"/>
      <c r="I189" s="91">
        <v>99</v>
      </c>
      <c r="J189" s="64"/>
      <c r="K189" s="64">
        <f t="shared" si="90"/>
        <v>0</v>
      </c>
      <c r="L189" s="43" t="s">
        <v>328</v>
      </c>
      <c r="M189" s="65" t="str">
        <f>VLOOKUP(L189,{"甲级","1.2";"乙级","1.0";"丙级","0.8";"试验","0.1"},2,0)</f>
        <v>0.1</v>
      </c>
      <c r="N189" s="64">
        <f t="shared" si="91"/>
        <v>0</v>
      </c>
      <c r="O189" s="64">
        <f t="shared" si="92"/>
        <v>0</v>
      </c>
      <c r="P189" s="69" t="s">
        <v>329</v>
      </c>
      <c r="Q189" s="76"/>
      <c r="R189" s="77">
        <f t="shared" si="93"/>
        <v>0</v>
      </c>
      <c r="S189" s="72">
        <f t="shared" si="72"/>
        <v>0</v>
      </c>
      <c r="T189" s="72">
        <f t="shared" si="73"/>
        <v>99</v>
      </c>
      <c r="U189" s="72">
        <f t="shared" si="74"/>
        <v>0</v>
      </c>
      <c r="V189" s="72" t="str">
        <f t="shared" si="75"/>
        <v>0.1</v>
      </c>
      <c r="W189" s="73">
        <f t="shared" si="76"/>
        <v>0</v>
      </c>
      <c r="X189" s="72"/>
      <c r="Y189" s="82"/>
      <c r="Z189" s="82">
        <f t="shared" si="77"/>
        <v>0</v>
      </c>
      <c r="AA189" s="82">
        <f t="shared" si="78"/>
        <v>99</v>
      </c>
      <c r="AB189" s="82">
        <f t="shared" si="79"/>
        <v>0</v>
      </c>
      <c r="AC189" s="82" t="str">
        <f t="shared" si="80"/>
        <v>0.1</v>
      </c>
      <c r="AD189" s="83">
        <f t="shared" si="81"/>
        <v>0</v>
      </c>
      <c r="AE189" s="82"/>
    </row>
    <row r="190" customHeight="1" spans="1:31">
      <c r="A190" s="43">
        <v>187</v>
      </c>
      <c r="B190" s="43"/>
      <c r="C190" s="43"/>
      <c r="D190" s="87" t="s">
        <v>361</v>
      </c>
      <c r="E190" s="92" t="s">
        <v>362</v>
      </c>
      <c r="F190" s="43"/>
      <c r="G190" s="92" t="s">
        <v>353</v>
      </c>
      <c r="H190" s="46"/>
      <c r="I190" s="91">
        <v>53</v>
      </c>
      <c r="J190" s="64"/>
      <c r="K190" s="64">
        <f t="shared" si="90"/>
        <v>0</v>
      </c>
      <c r="L190" s="43" t="s">
        <v>328</v>
      </c>
      <c r="M190" s="65" t="str">
        <f>VLOOKUP(L190,{"甲级","1.2";"乙级","1.0";"丙级","0.8";"试验","0.1"},2,0)</f>
        <v>0.1</v>
      </c>
      <c r="N190" s="64">
        <f t="shared" si="91"/>
        <v>0</v>
      </c>
      <c r="O190" s="64">
        <f t="shared" si="92"/>
        <v>0</v>
      </c>
      <c r="P190" s="69" t="s">
        <v>329</v>
      </c>
      <c r="Q190" s="76"/>
      <c r="R190" s="77">
        <f t="shared" si="93"/>
        <v>0</v>
      </c>
      <c r="S190" s="72">
        <f t="shared" si="72"/>
        <v>0</v>
      </c>
      <c r="T190" s="72">
        <f t="shared" si="73"/>
        <v>53</v>
      </c>
      <c r="U190" s="72">
        <f t="shared" si="74"/>
        <v>0</v>
      </c>
      <c r="V190" s="72" t="str">
        <f t="shared" si="75"/>
        <v>0.1</v>
      </c>
      <c r="W190" s="73">
        <f t="shared" si="76"/>
        <v>0</v>
      </c>
      <c r="X190" s="72"/>
      <c r="Y190" s="82"/>
      <c r="Z190" s="82">
        <f t="shared" si="77"/>
        <v>0</v>
      </c>
      <c r="AA190" s="82">
        <f t="shared" si="78"/>
        <v>53</v>
      </c>
      <c r="AB190" s="82">
        <f t="shared" si="79"/>
        <v>0</v>
      </c>
      <c r="AC190" s="82" t="str">
        <f t="shared" si="80"/>
        <v>0.1</v>
      </c>
      <c r="AD190" s="83">
        <f t="shared" si="81"/>
        <v>0</v>
      </c>
      <c r="AE190" s="82"/>
    </row>
    <row r="191" customHeight="1" spans="1:31">
      <c r="A191" s="47">
        <v>188</v>
      </c>
      <c r="B191" s="43"/>
      <c r="C191" s="43"/>
      <c r="D191" s="53"/>
      <c r="E191" s="92"/>
      <c r="F191" s="54" t="s">
        <v>363</v>
      </c>
      <c r="G191" s="92" t="s">
        <v>353</v>
      </c>
      <c r="H191" s="46"/>
      <c r="I191" s="91">
        <v>23</v>
      </c>
      <c r="J191" s="64"/>
      <c r="K191" s="64">
        <f t="shared" si="90"/>
        <v>0</v>
      </c>
      <c r="L191" s="43" t="s">
        <v>328</v>
      </c>
      <c r="M191" s="65" t="str">
        <f>VLOOKUP(L191,{"甲级","1.2";"乙级","1.0";"丙级","0.8";"试验","0.1"},2,0)</f>
        <v>0.1</v>
      </c>
      <c r="N191" s="64">
        <f t="shared" si="91"/>
        <v>0</v>
      </c>
      <c r="O191" s="64">
        <f t="shared" si="92"/>
        <v>0</v>
      </c>
      <c r="P191" s="69" t="s">
        <v>329</v>
      </c>
      <c r="Q191" s="76"/>
      <c r="R191" s="77">
        <f t="shared" si="93"/>
        <v>0</v>
      </c>
      <c r="S191" s="72">
        <f t="shared" si="72"/>
        <v>0</v>
      </c>
      <c r="T191" s="72">
        <f t="shared" si="73"/>
        <v>23</v>
      </c>
      <c r="U191" s="72">
        <f t="shared" si="74"/>
        <v>0</v>
      </c>
      <c r="V191" s="72" t="str">
        <f t="shared" si="75"/>
        <v>0.1</v>
      </c>
      <c r="W191" s="73">
        <f t="shared" si="76"/>
        <v>0</v>
      </c>
      <c r="X191" s="72"/>
      <c r="Y191" s="82"/>
      <c r="Z191" s="82">
        <f t="shared" si="77"/>
        <v>0</v>
      </c>
      <c r="AA191" s="82">
        <f t="shared" si="78"/>
        <v>23</v>
      </c>
      <c r="AB191" s="82">
        <f t="shared" si="79"/>
        <v>0</v>
      </c>
      <c r="AC191" s="82" t="str">
        <f t="shared" si="80"/>
        <v>0.1</v>
      </c>
      <c r="AD191" s="83">
        <f t="shared" si="81"/>
        <v>0</v>
      </c>
      <c r="AE191" s="82"/>
    </row>
    <row r="192" customHeight="1" spans="1:31">
      <c r="A192" s="43">
        <v>189</v>
      </c>
      <c r="B192" s="43"/>
      <c r="C192" s="43"/>
      <c r="D192" s="53"/>
      <c r="E192" s="92" t="s">
        <v>364</v>
      </c>
      <c r="F192" s="54" t="s">
        <v>365</v>
      </c>
      <c r="G192" s="54" t="s">
        <v>366</v>
      </c>
      <c r="H192" s="46"/>
      <c r="I192" s="91">
        <v>137</v>
      </c>
      <c r="J192" s="64"/>
      <c r="K192" s="64">
        <f t="shared" si="90"/>
        <v>0</v>
      </c>
      <c r="L192" s="43" t="s">
        <v>328</v>
      </c>
      <c r="M192" s="65" t="str">
        <f>VLOOKUP(L192,{"甲级","1.2";"乙级","1.0";"丙级","0.8";"试验","0.1"},2,0)</f>
        <v>0.1</v>
      </c>
      <c r="N192" s="64">
        <f t="shared" si="91"/>
        <v>0</v>
      </c>
      <c r="O192" s="64">
        <f t="shared" si="92"/>
        <v>0</v>
      </c>
      <c r="P192" s="69" t="s">
        <v>329</v>
      </c>
      <c r="Q192" s="76"/>
      <c r="R192" s="77">
        <f t="shared" si="93"/>
        <v>0</v>
      </c>
      <c r="S192" s="72">
        <f t="shared" si="72"/>
        <v>0</v>
      </c>
      <c r="T192" s="72">
        <f t="shared" si="73"/>
        <v>137</v>
      </c>
      <c r="U192" s="72">
        <f t="shared" si="74"/>
        <v>0</v>
      </c>
      <c r="V192" s="72" t="str">
        <f t="shared" si="75"/>
        <v>0.1</v>
      </c>
      <c r="W192" s="73">
        <f t="shared" si="76"/>
        <v>0</v>
      </c>
      <c r="X192" s="72"/>
      <c r="Y192" s="82"/>
      <c r="Z192" s="82">
        <f t="shared" si="77"/>
        <v>0</v>
      </c>
      <c r="AA192" s="82">
        <f t="shared" si="78"/>
        <v>137</v>
      </c>
      <c r="AB192" s="82">
        <f t="shared" si="79"/>
        <v>0</v>
      </c>
      <c r="AC192" s="82" t="str">
        <f t="shared" si="80"/>
        <v>0.1</v>
      </c>
      <c r="AD192" s="83">
        <f t="shared" si="81"/>
        <v>0</v>
      </c>
      <c r="AE192" s="82"/>
    </row>
    <row r="193" customHeight="1" spans="1:31">
      <c r="A193" s="47">
        <v>190</v>
      </c>
      <c r="B193" s="43"/>
      <c r="C193" s="43"/>
      <c r="D193" s="53"/>
      <c r="E193" s="92"/>
      <c r="F193" s="54" t="s">
        <v>367</v>
      </c>
      <c r="G193" s="54" t="s">
        <v>368</v>
      </c>
      <c r="H193" s="46"/>
      <c r="I193" s="91">
        <v>56</v>
      </c>
      <c r="J193" s="64"/>
      <c r="K193" s="64">
        <f t="shared" si="90"/>
        <v>0</v>
      </c>
      <c r="L193" s="43" t="s">
        <v>328</v>
      </c>
      <c r="M193" s="65" t="str">
        <f>VLOOKUP(L193,{"甲级","1.2";"乙级","1.0";"丙级","0.8";"试验","0.1"},2,0)</f>
        <v>0.1</v>
      </c>
      <c r="N193" s="64">
        <f t="shared" si="91"/>
        <v>0</v>
      </c>
      <c r="O193" s="64">
        <f t="shared" si="92"/>
        <v>0</v>
      </c>
      <c r="P193" s="69" t="s">
        <v>329</v>
      </c>
      <c r="Q193" s="76"/>
      <c r="R193" s="77">
        <f t="shared" si="93"/>
        <v>0</v>
      </c>
      <c r="S193" s="72">
        <f t="shared" si="72"/>
        <v>0</v>
      </c>
      <c r="T193" s="72">
        <f t="shared" si="73"/>
        <v>56</v>
      </c>
      <c r="U193" s="72">
        <f t="shared" si="74"/>
        <v>0</v>
      </c>
      <c r="V193" s="72" t="str">
        <f t="shared" si="75"/>
        <v>0.1</v>
      </c>
      <c r="W193" s="73">
        <f t="shared" si="76"/>
        <v>0</v>
      </c>
      <c r="X193" s="72"/>
      <c r="Y193" s="82"/>
      <c r="Z193" s="82">
        <f t="shared" si="77"/>
        <v>0</v>
      </c>
      <c r="AA193" s="82">
        <f t="shared" si="78"/>
        <v>56</v>
      </c>
      <c r="AB193" s="82">
        <f t="shared" si="79"/>
        <v>0</v>
      </c>
      <c r="AC193" s="82" t="str">
        <f t="shared" si="80"/>
        <v>0.1</v>
      </c>
      <c r="AD193" s="83">
        <f t="shared" si="81"/>
        <v>0</v>
      </c>
      <c r="AE193" s="82"/>
    </row>
    <row r="194" customHeight="1" spans="1:31">
      <c r="A194" s="43">
        <v>191</v>
      </c>
      <c r="B194" s="43"/>
      <c r="C194" s="43"/>
      <c r="D194" s="53" t="s">
        <v>369</v>
      </c>
      <c r="E194" s="43" t="s">
        <v>370</v>
      </c>
      <c r="F194" s="43"/>
      <c r="G194" s="46" t="s">
        <v>191</v>
      </c>
      <c r="H194" s="46"/>
      <c r="I194" s="63">
        <v>14</v>
      </c>
      <c r="J194" s="64"/>
      <c r="K194" s="64">
        <f t="shared" ref="K194:K200" si="94">I194*H194*J194</f>
        <v>0</v>
      </c>
      <c r="L194" s="43" t="s">
        <v>328</v>
      </c>
      <c r="M194" s="65" t="str">
        <f>VLOOKUP(L194,{"甲级","1.2";"乙级","1.0";"丙级","0.8";"试验","0.1"},2,0)</f>
        <v>0.1</v>
      </c>
      <c r="N194" s="64">
        <f t="shared" ref="N194:N200" si="95">K194*M194</f>
        <v>0</v>
      </c>
      <c r="O194" s="64">
        <f t="shared" ref="O194:O200" si="96">K194+N194</f>
        <v>0</v>
      </c>
      <c r="P194" s="69" t="s">
        <v>329</v>
      </c>
      <c r="Q194" s="76"/>
      <c r="R194" s="77">
        <f t="shared" si="93"/>
        <v>0</v>
      </c>
      <c r="S194" s="72">
        <f t="shared" si="72"/>
        <v>0</v>
      </c>
      <c r="T194" s="72">
        <f t="shared" si="73"/>
        <v>14</v>
      </c>
      <c r="U194" s="72">
        <f t="shared" si="74"/>
        <v>0</v>
      </c>
      <c r="V194" s="72" t="str">
        <f t="shared" si="75"/>
        <v>0.1</v>
      </c>
      <c r="W194" s="73">
        <f t="shared" si="76"/>
        <v>0</v>
      </c>
      <c r="X194" s="72"/>
      <c r="Y194" s="82"/>
      <c r="Z194" s="82">
        <f t="shared" si="77"/>
        <v>0</v>
      </c>
      <c r="AA194" s="82">
        <f t="shared" si="78"/>
        <v>14</v>
      </c>
      <c r="AB194" s="82">
        <f t="shared" si="79"/>
        <v>0</v>
      </c>
      <c r="AC194" s="82" t="str">
        <f t="shared" si="80"/>
        <v>0.1</v>
      </c>
      <c r="AD194" s="83">
        <f t="shared" si="81"/>
        <v>0</v>
      </c>
      <c r="AE194" s="82"/>
    </row>
    <row r="195" customHeight="1" spans="1:31">
      <c r="A195" s="47">
        <v>192</v>
      </c>
      <c r="B195" s="43"/>
      <c r="C195" s="43"/>
      <c r="D195" s="53"/>
      <c r="E195" s="43" t="s">
        <v>371</v>
      </c>
      <c r="F195" s="43"/>
      <c r="G195" s="46" t="s">
        <v>191</v>
      </c>
      <c r="H195" s="46"/>
      <c r="I195" s="63">
        <v>27</v>
      </c>
      <c r="J195" s="64"/>
      <c r="K195" s="64">
        <f t="shared" si="94"/>
        <v>0</v>
      </c>
      <c r="L195" s="43" t="s">
        <v>328</v>
      </c>
      <c r="M195" s="65" t="str">
        <f>VLOOKUP(L195,{"甲级","1.2";"乙级","1.0";"丙级","0.8";"试验","0.1"},2,0)</f>
        <v>0.1</v>
      </c>
      <c r="N195" s="64">
        <f t="shared" si="95"/>
        <v>0</v>
      </c>
      <c r="O195" s="64">
        <f t="shared" si="96"/>
        <v>0</v>
      </c>
      <c r="P195" s="69" t="s">
        <v>329</v>
      </c>
      <c r="Q195" s="76"/>
      <c r="R195" s="77">
        <f t="shared" si="93"/>
        <v>0</v>
      </c>
      <c r="S195" s="72">
        <f t="shared" si="72"/>
        <v>0</v>
      </c>
      <c r="T195" s="72">
        <f t="shared" si="73"/>
        <v>27</v>
      </c>
      <c r="U195" s="72">
        <f t="shared" si="74"/>
        <v>0</v>
      </c>
      <c r="V195" s="72" t="str">
        <f t="shared" si="75"/>
        <v>0.1</v>
      </c>
      <c r="W195" s="73">
        <f t="shared" si="76"/>
        <v>0</v>
      </c>
      <c r="X195" s="72"/>
      <c r="Y195" s="82"/>
      <c r="Z195" s="82">
        <f t="shared" si="77"/>
        <v>0</v>
      </c>
      <c r="AA195" s="82">
        <f t="shared" si="78"/>
        <v>27</v>
      </c>
      <c r="AB195" s="82">
        <f t="shared" si="79"/>
        <v>0</v>
      </c>
      <c r="AC195" s="82" t="str">
        <f t="shared" si="80"/>
        <v>0.1</v>
      </c>
      <c r="AD195" s="83">
        <f t="shared" si="81"/>
        <v>0</v>
      </c>
      <c r="AE195" s="82"/>
    </row>
    <row r="196" customHeight="1" spans="1:31">
      <c r="A196" s="43">
        <v>193</v>
      </c>
      <c r="B196" s="43"/>
      <c r="C196" s="43"/>
      <c r="D196" s="53"/>
      <c r="E196" s="43" t="s">
        <v>372</v>
      </c>
      <c r="F196" s="43"/>
      <c r="G196" s="46" t="s">
        <v>191</v>
      </c>
      <c r="H196" s="46"/>
      <c r="I196" s="63">
        <v>36</v>
      </c>
      <c r="J196" s="64"/>
      <c r="K196" s="64">
        <f t="shared" si="94"/>
        <v>0</v>
      </c>
      <c r="L196" s="43" t="s">
        <v>328</v>
      </c>
      <c r="M196" s="65" t="str">
        <f>VLOOKUP(L196,{"甲级","1.2";"乙级","1.0";"丙级","0.8";"试验","0.1"},2,0)</f>
        <v>0.1</v>
      </c>
      <c r="N196" s="64">
        <f t="shared" si="95"/>
        <v>0</v>
      </c>
      <c r="O196" s="64">
        <f t="shared" si="96"/>
        <v>0</v>
      </c>
      <c r="P196" s="69" t="s">
        <v>329</v>
      </c>
      <c r="Q196" s="76"/>
      <c r="R196" s="77">
        <f t="shared" si="93"/>
        <v>0</v>
      </c>
      <c r="S196" s="72">
        <f t="shared" si="72"/>
        <v>0</v>
      </c>
      <c r="T196" s="72">
        <f t="shared" si="73"/>
        <v>36</v>
      </c>
      <c r="U196" s="72">
        <f t="shared" si="74"/>
        <v>0</v>
      </c>
      <c r="V196" s="72" t="str">
        <f t="shared" si="75"/>
        <v>0.1</v>
      </c>
      <c r="W196" s="73">
        <f t="shared" si="76"/>
        <v>0</v>
      </c>
      <c r="X196" s="72"/>
      <c r="Y196" s="82"/>
      <c r="Z196" s="82">
        <f t="shared" si="77"/>
        <v>0</v>
      </c>
      <c r="AA196" s="82">
        <f t="shared" si="78"/>
        <v>36</v>
      </c>
      <c r="AB196" s="82">
        <f t="shared" si="79"/>
        <v>0</v>
      </c>
      <c r="AC196" s="82" t="str">
        <f t="shared" si="80"/>
        <v>0.1</v>
      </c>
      <c r="AD196" s="83">
        <f t="shared" si="81"/>
        <v>0</v>
      </c>
      <c r="AE196" s="82"/>
    </row>
    <row r="197" customHeight="1" spans="1:31">
      <c r="A197" s="47">
        <v>194</v>
      </c>
      <c r="B197" s="43"/>
      <c r="C197" s="43"/>
      <c r="D197" s="53"/>
      <c r="E197" s="43" t="s">
        <v>373</v>
      </c>
      <c r="F197" s="43"/>
      <c r="G197" s="46" t="s">
        <v>191</v>
      </c>
      <c r="H197" s="46"/>
      <c r="I197" s="63">
        <v>56</v>
      </c>
      <c r="J197" s="64"/>
      <c r="K197" s="64">
        <f t="shared" si="94"/>
        <v>0</v>
      </c>
      <c r="L197" s="43" t="s">
        <v>328</v>
      </c>
      <c r="M197" s="65" t="str">
        <f>VLOOKUP(L197,{"甲级","1.2";"乙级","1.0";"丙级","0.8";"试验","0.1"},2,0)</f>
        <v>0.1</v>
      </c>
      <c r="N197" s="64">
        <f t="shared" si="95"/>
        <v>0</v>
      </c>
      <c r="O197" s="64">
        <f t="shared" si="96"/>
        <v>0</v>
      </c>
      <c r="P197" s="69" t="s">
        <v>329</v>
      </c>
      <c r="Q197" s="76"/>
      <c r="R197" s="77">
        <f t="shared" si="93"/>
        <v>0</v>
      </c>
      <c r="S197" s="72">
        <f t="shared" si="72"/>
        <v>0</v>
      </c>
      <c r="T197" s="72">
        <f t="shared" si="73"/>
        <v>56</v>
      </c>
      <c r="U197" s="72">
        <f t="shared" si="74"/>
        <v>0</v>
      </c>
      <c r="V197" s="72" t="str">
        <f t="shared" si="75"/>
        <v>0.1</v>
      </c>
      <c r="W197" s="73">
        <f t="shared" si="76"/>
        <v>0</v>
      </c>
      <c r="X197" s="72"/>
      <c r="Y197" s="82"/>
      <c r="Z197" s="82">
        <f t="shared" si="77"/>
        <v>0</v>
      </c>
      <c r="AA197" s="82">
        <f t="shared" si="78"/>
        <v>56</v>
      </c>
      <c r="AB197" s="82">
        <f t="shared" si="79"/>
        <v>0</v>
      </c>
      <c r="AC197" s="82" t="str">
        <f t="shared" si="80"/>
        <v>0.1</v>
      </c>
      <c r="AD197" s="83">
        <f t="shared" si="81"/>
        <v>0</v>
      </c>
      <c r="AE197" s="82"/>
    </row>
    <row r="198" customHeight="1" spans="1:31">
      <c r="A198" s="43">
        <v>195</v>
      </c>
      <c r="B198" s="43"/>
      <c r="C198" s="43"/>
      <c r="D198" s="43" t="s">
        <v>374</v>
      </c>
      <c r="E198" s="43"/>
      <c r="F198" s="43"/>
      <c r="G198" s="46" t="s">
        <v>191</v>
      </c>
      <c r="H198" s="46"/>
      <c r="I198" s="63">
        <v>220</v>
      </c>
      <c r="J198" s="64"/>
      <c r="K198" s="64">
        <f t="shared" si="94"/>
        <v>0</v>
      </c>
      <c r="L198" s="43" t="s">
        <v>328</v>
      </c>
      <c r="M198" s="65" t="str">
        <f>VLOOKUP(L198,{"甲级","1.2";"乙级","1.0";"丙级","0.8";"试验","0.1"},2,0)</f>
        <v>0.1</v>
      </c>
      <c r="N198" s="64">
        <f t="shared" si="95"/>
        <v>0</v>
      </c>
      <c r="O198" s="64">
        <f t="shared" si="96"/>
        <v>0</v>
      </c>
      <c r="P198" s="69" t="s">
        <v>375</v>
      </c>
      <c r="Q198" s="76"/>
      <c r="R198" s="77">
        <f t="shared" si="93"/>
        <v>0</v>
      </c>
      <c r="S198" s="72">
        <f t="shared" si="72"/>
        <v>0</v>
      </c>
      <c r="T198" s="72">
        <f t="shared" si="73"/>
        <v>220</v>
      </c>
      <c r="U198" s="72">
        <f t="shared" si="74"/>
        <v>0</v>
      </c>
      <c r="V198" s="72" t="str">
        <f t="shared" si="75"/>
        <v>0.1</v>
      </c>
      <c r="W198" s="73">
        <f t="shared" si="76"/>
        <v>0</v>
      </c>
      <c r="X198" s="72"/>
      <c r="Y198" s="82"/>
      <c r="Z198" s="82">
        <f t="shared" si="77"/>
        <v>0</v>
      </c>
      <c r="AA198" s="82">
        <f t="shared" si="78"/>
        <v>220</v>
      </c>
      <c r="AB198" s="82">
        <f t="shared" si="79"/>
        <v>0</v>
      </c>
      <c r="AC198" s="82" t="str">
        <f t="shared" si="80"/>
        <v>0.1</v>
      </c>
      <c r="AD198" s="83">
        <f t="shared" si="81"/>
        <v>0</v>
      </c>
      <c r="AE198" s="82"/>
    </row>
    <row r="199" customHeight="1" spans="1:31">
      <c r="A199" s="47">
        <v>196</v>
      </c>
      <c r="B199" s="43"/>
      <c r="C199" s="43"/>
      <c r="D199" s="43" t="s">
        <v>376</v>
      </c>
      <c r="E199" s="43"/>
      <c r="F199" s="43"/>
      <c r="G199" s="46" t="s">
        <v>191</v>
      </c>
      <c r="H199" s="46"/>
      <c r="I199" s="63">
        <v>220</v>
      </c>
      <c r="J199" s="64"/>
      <c r="K199" s="64">
        <f t="shared" si="94"/>
        <v>0</v>
      </c>
      <c r="L199" s="43" t="s">
        <v>328</v>
      </c>
      <c r="M199" s="65" t="str">
        <f>VLOOKUP(L199,{"甲级","1.2";"乙级","1.0";"丙级","0.8";"试验","0.1"},2,0)</f>
        <v>0.1</v>
      </c>
      <c r="N199" s="64">
        <f t="shared" si="95"/>
        <v>0</v>
      </c>
      <c r="O199" s="64">
        <f t="shared" si="96"/>
        <v>0</v>
      </c>
      <c r="P199" s="69" t="s">
        <v>375</v>
      </c>
      <c r="Q199" s="76"/>
      <c r="R199" s="77">
        <f t="shared" si="93"/>
        <v>0</v>
      </c>
      <c r="S199" s="72">
        <f t="shared" si="72"/>
        <v>0</v>
      </c>
      <c r="T199" s="72">
        <f t="shared" si="73"/>
        <v>220</v>
      </c>
      <c r="U199" s="72">
        <f t="shared" si="74"/>
        <v>0</v>
      </c>
      <c r="V199" s="72" t="str">
        <f t="shared" si="75"/>
        <v>0.1</v>
      </c>
      <c r="W199" s="73">
        <f t="shared" si="76"/>
        <v>0</v>
      </c>
      <c r="X199" s="72"/>
      <c r="Y199" s="82"/>
      <c r="Z199" s="82">
        <f t="shared" si="77"/>
        <v>0</v>
      </c>
      <c r="AA199" s="82">
        <f t="shared" si="78"/>
        <v>220</v>
      </c>
      <c r="AB199" s="82">
        <f t="shared" si="79"/>
        <v>0</v>
      </c>
      <c r="AC199" s="82" t="str">
        <f t="shared" si="80"/>
        <v>0.1</v>
      </c>
      <c r="AD199" s="83">
        <f t="shared" si="81"/>
        <v>0</v>
      </c>
      <c r="AE199" s="82"/>
    </row>
    <row r="200" customHeight="1" spans="1:31">
      <c r="A200" s="43">
        <v>197</v>
      </c>
      <c r="B200" s="43"/>
      <c r="C200" s="43"/>
      <c r="D200" s="43" t="s">
        <v>377</v>
      </c>
      <c r="E200" s="43"/>
      <c r="F200" s="43"/>
      <c r="G200" s="46" t="s">
        <v>378</v>
      </c>
      <c r="H200" s="46"/>
      <c r="I200" s="63">
        <v>30000</v>
      </c>
      <c r="J200" s="64"/>
      <c r="K200" s="64">
        <f t="shared" si="94"/>
        <v>0</v>
      </c>
      <c r="L200" s="43" t="s">
        <v>328</v>
      </c>
      <c r="M200" s="65" t="str">
        <f>VLOOKUP(L200,{"甲级","1.2";"乙级","1.0";"丙级","0.8";"试验","0.1"},2,0)</f>
        <v>0.1</v>
      </c>
      <c r="N200" s="64">
        <f t="shared" si="95"/>
        <v>0</v>
      </c>
      <c r="O200" s="64">
        <f t="shared" si="96"/>
        <v>0</v>
      </c>
      <c r="P200" s="69"/>
      <c r="Q200" s="76"/>
      <c r="R200" s="77">
        <f t="shared" si="93"/>
        <v>0</v>
      </c>
      <c r="S200" s="72">
        <f t="shared" si="72"/>
        <v>0</v>
      </c>
      <c r="T200" s="72">
        <f t="shared" si="73"/>
        <v>30000</v>
      </c>
      <c r="U200" s="72">
        <f t="shared" si="74"/>
        <v>0</v>
      </c>
      <c r="V200" s="72" t="str">
        <f t="shared" si="75"/>
        <v>0.1</v>
      </c>
      <c r="W200" s="73">
        <f t="shared" si="76"/>
        <v>0</v>
      </c>
      <c r="X200" s="72"/>
      <c r="Y200" s="82"/>
      <c r="Z200" s="82">
        <f t="shared" si="77"/>
        <v>0</v>
      </c>
      <c r="AA200" s="82">
        <f t="shared" si="78"/>
        <v>30000</v>
      </c>
      <c r="AB200" s="82">
        <f t="shared" si="79"/>
        <v>0</v>
      </c>
      <c r="AC200" s="82" t="str">
        <f t="shared" si="80"/>
        <v>0.1</v>
      </c>
      <c r="AD200" s="83">
        <f t="shared" si="81"/>
        <v>0</v>
      </c>
      <c r="AE200" s="82"/>
    </row>
    <row r="201" customHeight="1" spans="1:31">
      <c r="A201" s="47">
        <v>198</v>
      </c>
      <c r="B201" s="43"/>
      <c r="C201" s="43" t="s">
        <v>379</v>
      </c>
      <c r="D201" s="43" t="s">
        <v>380</v>
      </c>
      <c r="E201" s="43" t="s">
        <v>381</v>
      </c>
      <c r="F201" s="43"/>
      <c r="G201" s="46" t="s">
        <v>382</v>
      </c>
      <c r="H201" s="46"/>
      <c r="I201" s="63">
        <v>19</v>
      </c>
      <c r="J201" s="64"/>
      <c r="K201" s="64">
        <f t="shared" ref="K201:K211" si="97">I201*H201*J201</f>
        <v>0</v>
      </c>
      <c r="L201" s="43" t="s">
        <v>328</v>
      </c>
      <c r="M201" s="65" t="str">
        <f>VLOOKUP(L201,{"甲级","1.2";"乙级","1.0";"丙级","0.8";"试验","0.1"},2,0)</f>
        <v>0.1</v>
      </c>
      <c r="N201" s="64">
        <f t="shared" ref="N201:N210" si="98">K201*M201</f>
        <v>0</v>
      </c>
      <c r="O201" s="64">
        <f t="shared" ref="O201:O210" si="99">K201+N201</f>
        <v>0</v>
      </c>
      <c r="P201" s="69" t="s">
        <v>383</v>
      </c>
      <c r="Q201" s="76"/>
      <c r="R201" s="77">
        <f t="shared" si="93"/>
        <v>0</v>
      </c>
      <c r="S201" s="72">
        <f t="shared" si="72"/>
        <v>0</v>
      </c>
      <c r="T201" s="72">
        <f t="shared" si="73"/>
        <v>19</v>
      </c>
      <c r="U201" s="72">
        <f t="shared" si="74"/>
        <v>0</v>
      </c>
      <c r="V201" s="72" t="str">
        <f t="shared" si="75"/>
        <v>0.1</v>
      </c>
      <c r="W201" s="73">
        <f t="shared" si="76"/>
        <v>0</v>
      </c>
      <c r="X201" s="72"/>
      <c r="Y201" s="82"/>
      <c r="Z201" s="82">
        <f t="shared" si="77"/>
        <v>0</v>
      </c>
      <c r="AA201" s="82">
        <f t="shared" si="78"/>
        <v>19</v>
      </c>
      <c r="AB201" s="82">
        <f t="shared" si="79"/>
        <v>0</v>
      </c>
      <c r="AC201" s="82" t="str">
        <f t="shared" si="80"/>
        <v>0.1</v>
      </c>
      <c r="AD201" s="83">
        <f t="shared" si="81"/>
        <v>0</v>
      </c>
      <c r="AE201" s="82"/>
    </row>
    <row r="202" customHeight="1" spans="1:31">
      <c r="A202" s="43">
        <v>199</v>
      </c>
      <c r="B202" s="43"/>
      <c r="C202" s="43"/>
      <c r="D202" s="43" t="s">
        <v>327</v>
      </c>
      <c r="E202" s="43"/>
      <c r="F202" s="43"/>
      <c r="G202" s="46" t="s">
        <v>191</v>
      </c>
      <c r="H202" s="46"/>
      <c r="I202" s="63">
        <v>14</v>
      </c>
      <c r="J202" s="64"/>
      <c r="K202" s="64">
        <f t="shared" si="97"/>
        <v>0</v>
      </c>
      <c r="L202" s="43" t="s">
        <v>328</v>
      </c>
      <c r="M202" s="65" t="str">
        <f>VLOOKUP(L202,{"甲级","1.2";"乙级","1.0";"丙级","0.8";"试验","0.1"},2,0)</f>
        <v>0.1</v>
      </c>
      <c r="N202" s="64">
        <f t="shared" si="98"/>
        <v>0</v>
      </c>
      <c r="O202" s="64">
        <f t="shared" si="99"/>
        <v>0</v>
      </c>
      <c r="P202" s="69" t="s">
        <v>383</v>
      </c>
      <c r="Q202" s="76"/>
      <c r="R202" s="77">
        <f t="shared" si="93"/>
        <v>0</v>
      </c>
      <c r="S202" s="72">
        <f t="shared" si="72"/>
        <v>0</v>
      </c>
      <c r="T202" s="72">
        <f t="shared" si="73"/>
        <v>14</v>
      </c>
      <c r="U202" s="72">
        <f t="shared" si="74"/>
        <v>0</v>
      </c>
      <c r="V202" s="72" t="str">
        <f t="shared" si="75"/>
        <v>0.1</v>
      </c>
      <c r="W202" s="73">
        <f t="shared" si="76"/>
        <v>0</v>
      </c>
      <c r="X202" s="72"/>
      <c r="Y202" s="82"/>
      <c r="Z202" s="82">
        <f t="shared" si="77"/>
        <v>0</v>
      </c>
      <c r="AA202" s="82">
        <f t="shared" si="78"/>
        <v>14</v>
      </c>
      <c r="AB202" s="82">
        <f t="shared" si="79"/>
        <v>0</v>
      </c>
      <c r="AC202" s="82" t="str">
        <f t="shared" si="80"/>
        <v>0.1</v>
      </c>
      <c r="AD202" s="83">
        <f t="shared" si="81"/>
        <v>0</v>
      </c>
      <c r="AE202" s="82"/>
    </row>
    <row r="203" customHeight="1" spans="1:31">
      <c r="A203" s="47">
        <v>200</v>
      </c>
      <c r="B203" s="43"/>
      <c r="C203" s="43"/>
      <c r="D203" s="43" t="s">
        <v>384</v>
      </c>
      <c r="E203" s="43" t="s">
        <v>385</v>
      </c>
      <c r="F203" s="43"/>
      <c r="G203" s="46" t="s">
        <v>191</v>
      </c>
      <c r="H203" s="46"/>
      <c r="I203" s="63">
        <v>18</v>
      </c>
      <c r="J203" s="64"/>
      <c r="K203" s="64">
        <f t="shared" si="97"/>
        <v>0</v>
      </c>
      <c r="L203" s="43" t="s">
        <v>328</v>
      </c>
      <c r="M203" s="65" t="str">
        <f>VLOOKUP(L203,{"甲级","1.2";"乙级","1.0";"丙级","0.8";"试验","0.1"},2,0)</f>
        <v>0.1</v>
      </c>
      <c r="N203" s="64">
        <f t="shared" si="98"/>
        <v>0</v>
      </c>
      <c r="O203" s="64">
        <f t="shared" si="99"/>
        <v>0</v>
      </c>
      <c r="P203" s="69" t="s">
        <v>383</v>
      </c>
      <c r="Q203" s="76"/>
      <c r="R203" s="77">
        <f t="shared" si="93"/>
        <v>0</v>
      </c>
      <c r="S203" s="72">
        <f t="shared" si="72"/>
        <v>0</v>
      </c>
      <c r="T203" s="72">
        <f t="shared" si="73"/>
        <v>18</v>
      </c>
      <c r="U203" s="72">
        <f t="shared" si="74"/>
        <v>0</v>
      </c>
      <c r="V203" s="72" t="str">
        <f t="shared" si="75"/>
        <v>0.1</v>
      </c>
      <c r="W203" s="73">
        <f t="shared" si="76"/>
        <v>0</v>
      </c>
      <c r="X203" s="72"/>
      <c r="Y203" s="82"/>
      <c r="Z203" s="82">
        <f t="shared" si="77"/>
        <v>0</v>
      </c>
      <c r="AA203" s="82">
        <f t="shared" si="78"/>
        <v>18</v>
      </c>
      <c r="AB203" s="82">
        <f t="shared" si="79"/>
        <v>0</v>
      </c>
      <c r="AC203" s="82" t="str">
        <f t="shared" si="80"/>
        <v>0.1</v>
      </c>
      <c r="AD203" s="83">
        <f t="shared" si="81"/>
        <v>0</v>
      </c>
      <c r="AE203" s="82"/>
    </row>
    <row r="204" customHeight="1" spans="1:31">
      <c r="A204" s="43">
        <v>201</v>
      </c>
      <c r="B204" s="43"/>
      <c r="C204" s="43"/>
      <c r="D204" s="43" t="s">
        <v>386</v>
      </c>
      <c r="E204" s="54" t="s">
        <v>387</v>
      </c>
      <c r="F204" s="43" t="s">
        <v>388</v>
      </c>
      <c r="G204" s="46" t="s">
        <v>353</v>
      </c>
      <c r="H204" s="46"/>
      <c r="I204" s="63">
        <v>47</v>
      </c>
      <c r="J204" s="64"/>
      <c r="K204" s="64">
        <f t="shared" si="97"/>
        <v>0</v>
      </c>
      <c r="L204" s="43" t="s">
        <v>328</v>
      </c>
      <c r="M204" s="65" t="str">
        <f>VLOOKUP(L204,{"甲级","1.2";"乙级","1.0";"丙级","0.8";"试验","0.1"},2,0)</f>
        <v>0.1</v>
      </c>
      <c r="N204" s="64">
        <f t="shared" si="98"/>
        <v>0</v>
      </c>
      <c r="O204" s="64">
        <f t="shared" si="99"/>
        <v>0</v>
      </c>
      <c r="P204" s="69" t="s">
        <v>383</v>
      </c>
      <c r="Q204" s="76"/>
      <c r="R204" s="77">
        <f t="shared" si="93"/>
        <v>0</v>
      </c>
      <c r="S204" s="72">
        <f t="shared" si="72"/>
        <v>0</v>
      </c>
      <c r="T204" s="72">
        <f t="shared" si="73"/>
        <v>47</v>
      </c>
      <c r="U204" s="72">
        <f t="shared" si="74"/>
        <v>0</v>
      </c>
      <c r="V204" s="72" t="str">
        <f t="shared" si="75"/>
        <v>0.1</v>
      </c>
      <c r="W204" s="73">
        <f t="shared" si="76"/>
        <v>0</v>
      </c>
      <c r="X204" s="72"/>
      <c r="Y204" s="82"/>
      <c r="Z204" s="82">
        <f t="shared" si="77"/>
        <v>0</v>
      </c>
      <c r="AA204" s="82">
        <f t="shared" si="78"/>
        <v>47</v>
      </c>
      <c r="AB204" s="82">
        <f t="shared" si="79"/>
        <v>0</v>
      </c>
      <c r="AC204" s="82" t="str">
        <f t="shared" si="80"/>
        <v>0.1</v>
      </c>
      <c r="AD204" s="83">
        <f t="shared" si="81"/>
        <v>0</v>
      </c>
      <c r="AE204" s="82"/>
    </row>
    <row r="205" customHeight="1" spans="1:31">
      <c r="A205" s="47">
        <v>202</v>
      </c>
      <c r="B205" s="43"/>
      <c r="C205" s="43"/>
      <c r="D205" s="43"/>
      <c r="E205" s="54" t="s">
        <v>389</v>
      </c>
      <c r="F205" s="43" t="s">
        <v>388</v>
      </c>
      <c r="G205" s="46" t="s">
        <v>353</v>
      </c>
      <c r="H205" s="46"/>
      <c r="I205" s="63">
        <v>70</v>
      </c>
      <c r="J205" s="64"/>
      <c r="K205" s="64">
        <f t="shared" si="97"/>
        <v>0</v>
      </c>
      <c r="L205" s="43" t="s">
        <v>328</v>
      </c>
      <c r="M205" s="65" t="str">
        <f>VLOOKUP(L205,{"甲级","1.2";"乙级","1.0";"丙级","0.8";"试验","0.1"},2,0)</f>
        <v>0.1</v>
      </c>
      <c r="N205" s="64">
        <f t="shared" si="98"/>
        <v>0</v>
      </c>
      <c r="O205" s="64">
        <f t="shared" si="99"/>
        <v>0</v>
      </c>
      <c r="P205" s="69" t="s">
        <v>383</v>
      </c>
      <c r="Q205" s="76"/>
      <c r="R205" s="77">
        <f t="shared" si="93"/>
        <v>0</v>
      </c>
      <c r="S205" s="72">
        <f t="shared" si="72"/>
        <v>0</v>
      </c>
      <c r="T205" s="72">
        <f t="shared" si="73"/>
        <v>70</v>
      </c>
      <c r="U205" s="72">
        <f t="shared" si="74"/>
        <v>0</v>
      </c>
      <c r="V205" s="72" t="str">
        <f t="shared" si="75"/>
        <v>0.1</v>
      </c>
      <c r="W205" s="73">
        <f t="shared" si="76"/>
        <v>0</v>
      </c>
      <c r="X205" s="72"/>
      <c r="Y205" s="82"/>
      <c r="Z205" s="82">
        <f t="shared" si="77"/>
        <v>0</v>
      </c>
      <c r="AA205" s="82">
        <f t="shared" si="78"/>
        <v>70</v>
      </c>
      <c r="AB205" s="82">
        <f t="shared" si="79"/>
        <v>0</v>
      </c>
      <c r="AC205" s="82" t="str">
        <f t="shared" si="80"/>
        <v>0.1</v>
      </c>
      <c r="AD205" s="83">
        <f t="shared" si="81"/>
        <v>0</v>
      </c>
      <c r="AE205" s="82"/>
    </row>
    <row r="206" customHeight="1" spans="1:31">
      <c r="A206" s="43">
        <v>203</v>
      </c>
      <c r="B206" s="43"/>
      <c r="C206" s="43"/>
      <c r="D206" s="43" t="s">
        <v>390</v>
      </c>
      <c r="E206" s="43" t="s">
        <v>391</v>
      </c>
      <c r="F206" s="43" t="s">
        <v>392</v>
      </c>
      <c r="G206" s="46" t="s">
        <v>353</v>
      </c>
      <c r="H206" s="46"/>
      <c r="I206" s="91">
        <v>269</v>
      </c>
      <c r="J206" s="64"/>
      <c r="K206" s="64">
        <f t="shared" si="97"/>
        <v>0</v>
      </c>
      <c r="L206" s="43" t="s">
        <v>328</v>
      </c>
      <c r="M206" s="65" t="str">
        <f>VLOOKUP(L206,{"甲级","1.2";"乙级","1.0";"丙级","0.8";"试验","0.1"},2,0)</f>
        <v>0.1</v>
      </c>
      <c r="N206" s="64">
        <f t="shared" si="98"/>
        <v>0</v>
      </c>
      <c r="O206" s="64">
        <f t="shared" si="99"/>
        <v>0</v>
      </c>
      <c r="P206" s="69" t="s">
        <v>383</v>
      </c>
      <c r="Q206" s="76"/>
      <c r="R206" s="77">
        <f t="shared" si="93"/>
        <v>0</v>
      </c>
      <c r="S206" s="72">
        <f>H206</f>
        <v>0</v>
      </c>
      <c r="T206" s="72">
        <f>I206</f>
        <v>269</v>
      </c>
      <c r="U206" s="72">
        <f>J206</f>
        <v>0</v>
      </c>
      <c r="V206" s="72" t="str">
        <f>M206</f>
        <v>0.1</v>
      </c>
      <c r="W206" s="73">
        <f>S206*U206*T206*(1+V206)</f>
        <v>0</v>
      </c>
      <c r="X206" s="72"/>
      <c r="Y206" s="82"/>
      <c r="Z206" s="82">
        <f>H206</f>
        <v>0</v>
      </c>
      <c r="AA206" s="82">
        <f>I206</f>
        <v>269</v>
      </c>
      <c r="AB206" s="82">
        <f>J206</f>
        <v>0</v>
      </c>
      <c r="AC206" s="82" t="str">
        <f>M206</f>
        <v>0.1</v>
      </c>
      <c r="AD206" s="83">
        <f>Z206*AB206*AA206*(1+AC206)</f>
        <v>0</v>
      </c>
      <c r="AE206" s="82"/>
    </row>
    <row r="207" customHeight="1" spans="1:31">
      <c r="A207" s="47">
        <v>204</v>
      </c>
      <c r="B207" s="43"/>
      <c r="C207" s="43"/>
      <c r="D207" s="43"/>
      <c r="E207" s="43" t="s">
        <v>393</v>
      </c>
      <c r="F207" s="43" t="s">
        <v>392</v>
      </c>
      <c r="G207" s="46" t="s">
        <v>353</v>
      </c>
      <c r="H207" s="46"/>
      <c r="I207" s="91">
        <v>289</v>
      </c>
      <c r="J207" s="64"/>
      <c r="K207" s="64">
        <f t="shared" si="97"/>
        <v>0</v>
      </c>
      <c r="L207" s="43" t="s">
        <v>328</v>
      </c>
      <c r="M207" s="65" t="str">
        <f>VLOOKUP(L207,{"甲级","1.2";"乙级","1.0";"丙级","0.8";"试验","0.1"},2,0)</f>
        <v>0.1</v>
      </c>
      <c r="N207" s="64">
        <f t="shared" si="98"/>
        <v>0</v>
      </c>
      <c r="O207" s="64">
        <f t="shared" si="99"/>
        <v>0</v>
      </c>
      <c r="P207" s="69" t="s">
        <v>383</v>
      </c>
      <c r="Q207" s="76"/>
      <c r="R207" s="77">
        <f t="shared" si="93"/>
        <v>0</v>
      </c>
      <c r="S207" s="72">
        <f>H207</f>
        <v>0</v>
      </c>
      <c r="T207" s="72">
        <f>I207</f>
        <v>289</v>
      </c>
      <c r="U207" s="72">
        <f>J207</f>
        <v>0</v>
      </c>
      <c r="V207" s="72" t="str">
        <f>M207</f>
        <v>0.1</v>
      </c>
      <c r="W207" s="73">
        <f>S207*U207*T207*(1+V207)</f>
        <v>0</v>
      </c>
      <c r="X207" s="72"/>
      <c r="Y207" s="82"/>
      <c r="Z207" s="82">
        <f>H207</f>
        <v>0</v>
      </c>
      <c r="AA207" s="82">
        <f>I207</f>
        <v>289</v>
      </c>
      <c r="AB207" s="82">
        <f>J207</f>
        <v>0</v>
      </c>
      <c r="AC207" s="82" t="str">
        <f>M207</f>
        <v>0.1</v>
      </c>
      <c r="AD207" s="83">
        <f>Z207*AB207*AA207*(1+AC207)</f>
        <v>0</v>
      </c>
      <c r="AE207" s="82"/>
    </row>
    <row r="208" customHeight="1" spans="1:31">
      <c r="A208" s="43">
        <v>205</v>
      </c>
      <c r="B208" s="43"/>
      <c r="C208" s="43"/>
      <c r="D208" s="43" t="s">
        <v>394</v>
      </c>
      <c r="E208" s="43"/>
      <c r="F208" s="43"/>
      <c r="G208" s="46" t="s">
        <v>382</v>
      </c>
      <c r="H208" s="46"/>
      <c r="I208" s="63">
        <v>26</v>
      </c>
      <c r="J208" s="64"/>
      <c r="K208" s="64">
        <f t="shared" si="97"/>
        <v>0</v>
      </c>
      <c r="L208" s="43" t="s">
        <v>328</v>
      </c>
      <c r="M208" s="65" t="str">
        <f>VLOOKUP(L208,{"甲级","1.2";"乙级","1.0";"丙级","0.8";"试验","0.1"},2,0)</f>
        <v>0.1</v>
      </c>
      <c r="N208" s="64">
        <f t="shared" si="98"/>
        <v>0</v>
      </c>
      <c r="O208" s="64">
        <f t="shared" si="99"/>
        <v>0</v>
      </c>
      <c r="P208" s="69" t="s">
        <v>383</v>
      </c>
      <c r="Q208" s="76"/>
      <c r="R208" s="77">
        <f t="shared" si="93"/>
        <v>0</v>
      </c>
      <c r="S208" s="72">
        <f>H208</f>
        <v>0</v>
      </c>
      <c r="T208" s="72">
        <f>I208</f>
        <v>26</v>
      </c>
      <c r="U208" s="72">
        <f>J208</f>
        <v>0</v>
      </c>
      <c r="V208" s="72" t="str">
        <f>M208</f>
        <v>0.1</v>
      </c>
      <c r="W208" s="73">
        <f>S208*U208*T208*(1+V208)</f>
        <v>0</v>
      </c>
      <c r="X208" s="72"/>
      <c r="Y208" s="82"/>
      <c r="Z208" s="82">
        <f>H208</f>
        <v>0</v>
      </c>
      <c r="AA208" s="82">
        <f>I208</f>
        <v>26</v>
      </c>
      <c r="AB208" s="82">
        <f>J208</f>
        <v>0</v>
      </c>
      <c r="AC208" s="82" t="str">
        <f>M208</f>
        <v>0.1</v>
      </c>
      <c r="AD208" s="83">
        <f>Z208*AB208*AA208*(1+AC208)</f>
        <v>0</v>
      </c>
      <c r="AE208" s="82"/>
    </row>
    <row r="209" customHeight="1" spans="1:31">
      <c r="A209" s="47">
        <v>206</v>
      </c>
      <c r="B209" s="48"/>
      <c r="C209" s="48"/>
      <c r="D209" s="99" t="s">
        <v>395</v>
      </c>
      <c r="E209" s="99"/>
      <c r="F209" s="48"/>
      <c r="G209" s="52" t="s">
        <v>191</v>
      </c>
      <c r="H209" s="46"/>
      <c r="I209" s="68">
        <v>52</v>
      </c>
      <c r="J209" s="64"/>
      <c r="K209" s="64">
        <f t="shared" si="97"/>
        <v>0</v>
      </c>
      <c r="L209" s="43" t="s">
        <v>328</v>
      </c>
      <c r="M209" s="65" t="str">
        <f>VLOOKUP(L209,{"甲级","1.2";"乙级","1.0";"丙级","0.8";"试验","0.1"},2,0)</f>
        <v>0.1</v>
      </c>
      <c r="N209" s="64">
        <f t="shared" si="98"/>
        <v>0</v>
      </c>
      <c r="O209" s="64">
        <f t="shared" si="99"/>
        <v>0</v>
      </c>
      <c r="P209" s="69" t="s">
        <v>383</v>
      </c>
      <c r="Q209" s="76"/>
      <c r="R209" s="77">
        <f t="shared" si="93"/>
        <v>0</v>
      </c>
      <c r="S209" s="72">
        <f>H209</f>
        <v>0</v>
      </c>
      <c r="T209" s="72">
        <f>I209</f>
        <v>52</v>
      </c>
      <c r="U209" s="72">
        <f>J209</f>
        <v>0</v>
      </c>
      <c r="V209" s="72" t="str">
        <f>M209</f>
        <v>0.1</v>
      </c>
      <c r="W209" s="73">
        <f>S209*U209*T209*(1+V209)</f>
        <v>0</v>
      </c>
      <c r="X209" s="72"/>
      <c r="Y209" s="82"/>
      <c r="Z209" s="82">
        <f>H209</f>
        <v>0</v>
      </c>
      <c r="AA209" s="82">
        <f>I209</f>
        <v>52</v>
      </c>
      <c r="AB209" s="82">
        <f>J209</f>
        <v>0</v>
      </c>
      <c r="AC209" s="82" t="str">
        <f>M209</f>
        <v>0.1</v>
      </c>
      <c r="AD209" s="83">
        <f>Z209*AB209*AA209*(1+AC209)</f>
        <v>0</v>
      </c>
      <c r="AE209" s="82"/>
    </row>
    <row r="210" customHeight="1" spans="1:31">
      <c r="A210" s="47" t="s">
        <v>116</v>
      </c>
      <c r="B210" s="100"/>
      <c r="C210" s="100"/>
      <c r="D210" s="100"/>
      <c r="E210" s="100"/>
      <c r="F210" s="100"/>
      <c r="G210" s="95"/>
      <c r="H210" s="46"/>
      <c r="I210" s="68"/>
      <c r="J210" s="64"/>
      <c r="K210" s="101">
        <f>SUM(K5:K209)</f>
        <v>0</v>
      </c>
      <c r="L210" s="94"/>
      <c r="M210" s="102"/>
      <c r="N210" s="101">
        <f>SUM(N5:N209)</f>
        <v>0</v>
      </c>
      <c r="O210" s="101">
        <f>SUM(O5:O209)</f>
        <v>0</v>
      </c>
      <c r="P210" s="103"/>
      <c r="Q210" s="76"/>
      <c r="R210" s="77" t="s">
        <v>116</v>
      </c>
      <c r="S210" s="77"/>
      <c r="T210" s="77"/>
      <c r="U210" s="77"/>
      <c r="V210" s="77"/>
      <c r="W210" s="104">
        <f>SUM(W5:W209)</f>
        <v>0</v>
      </c>
      <c r="X210" s="72"/>
      <c r="Y210" s="105" t="s">
        <v>116</v>
      </c>
      <c r="Z210" s="105"/>
      <c r="AA210" s="105"/>
      <c r="AB210" s="105"/>
      <c r="AC210" s="105"/>
      <c r="AD210" s="106">
        <f>SUM(AD5:AD209)</f>
        <v>0</v>
      </c>
      <c r="AE210" s="82"/>
    </row>
  </sheetData>
  <autoFilter xmlns:etc="http://www.wps.cn/officeDocument/2017/etCustomData" ref="A4:XCU210" etc:filterBottomFollowUsedRange="0">
    <extLst/>
  </autoFilter>
  <mergeCells count="98">
    <mergeCell ref="A1:Q1"/>
    <mergeCell ref="B3:G3"/>
    <mergeCell ref="H3:K3"/>
    <mergeCell ref="L3:N3"/>
    <mergeCell ref="R3:X3"/>
    <mergeCell ref="Y3:AE3"/>
    <mergeCell ref="B4:C4"/>
    <mergeCell ref="D98:E98"/>
    <mergeCell ref="D104:F104"/>
    <mergeCell ref="D125:E125"/>
    <mergeCell ref="D126:E12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66:F166"/>
    <mergeCell ref="D167:E167"/>
    <mergeCell ref="D198:E198"/>
    <mergeCell ref="D199:E199"/>
    <mergeCell ref="D200:E200"/>
    <mergeCell ref="D208:E208"/>
    <mergeCell ref="D209:E209"/>
    <mergeCell ref="A210:G210"/>
    <mergeCell ref="R210:V210"/>
    <mergeCell ref="Y210:AC210"/>
    <mergeCell ref="A3:A4"/>
    <mergeCell ref="B6:B13"/>
    <mergeCell ref="B14:B69"/>
    <mergeCell ref="B70:B74"/>
    <mergeCell ref="B75:B96"/>
    <mergeCell ref="B97:B101"/>
    <mergeCell ref="B102:B103"/>
    <mergeCell ref="B104:B166"/>
    <mergeCell ref="B167:B209"/>
    <mergeCell ref="C6:C13"/>
    <mergeCell ref="C14:C45"/>
    <mergeCell ref="C46:C63"/>
    <mergeCell ref="C78:C84"/>
    <mergeCell ref="C85:C91"/>
    <mergeCell ref="C93:C96"/>
    <mergeCell ref="C98:C101"/>
    <mergeCell ref="C104:C109"/>
    <mergeCell ref="C110:C114"/>
    <mergeCell ref="C115:C118"/>
    <mergeCell ref="C119:C122"/>
    <mergeCell ref="C123:C124"/>
    <mergeCell ref="C125:C126"/>
    <mergeCell ref="C127:C128"/>
    <mergeCell ref="C129:C133"/>
    <mergeCell ref="C134:C136"/>
    <mergeCell ref="C137:C141"/>
    <mergeCell ref="C142:C143"/>
    <mergeCell ref="C145:C165"/>
    <mergeCell ref="C167:C199"/>
    <mergeCell ref="C201:C209"/>
    <mergeCell ref="D6:D13"/>
    <mergeCell ref="D14:D45"/>
    <mergeCell ref="D46:D63"/>
    <mergeCell ref="D78:D84"/>
    <mergeCell ref="D85:D91"/>
    <mergeCell ref="D93:D94"/>
    <mergeCell ref="D95:D96"/>
    <mergeCell ref="D99:D101"/>
    <mergeCell ref="D105:D109"/>
    <mergeCell ref="D110:D114"/>
    <mergeCell ref="D115:D118"/>
    <mergeCell ref="D119:D122"/>
    <mergeCell ref="D123:D124"/>
    <mergeCell ref="D127:D128"/>
    <mergeCell ref="D129:D133"/>
    <mergeCell ref="D134:D136"/>
    <mergeCell ref="D145:D165"/>
    <mergeCell ref="D172:D173"/>
    <mergeCell ref="D175:D176"/>
    <mergeCell ref="D177:D178"/>
    <mergeCell ref="D179:D180"/>
    <mergeCell ref="D181:D182"/>
    <mergeCell ref="D183:D186"/>
    <mergeCell ref="D187:D189"/>
    <mergeCell ref="D190:D193"/>
    <mergeCell ref="D194:D197"/>
    <mergeCell ref="D204:D205"/>
    <mergeCell ref="D206:D207"/>
    <mergeCell ref="E106:E107"/>
    <mergeCell ref="E108:E109"/>
    <mergeCell ref="E190:E191"/>
    <mergeCell ref="E192:E193"/>
    <mergeCell ref="P3:P4"/>
    <mergeCell ref="Q3:Q4"/>
    <mergeCell ref="Q42:Q43"/>
    <mergeCell ref="C64:D67"/>
    <mergeCell ref="C68:D69"/>
    <mergeCell ref="C70:D74"/>
    <mergeCell ref="C75:D77"/>
  </mergeCells>
  <dataValidations count="8">
    <dataValidation type="list" allowBlank="1" showInputMessage="1" showErrorMessage="1" sqref="F6:F13 F102:F103 F137:F141 L97:L101">
      <formula1>"简单,中等,复杂"</formula1>
    </dataValidation>
    <dataValidation type="list" allowBlank="1" showInputMessage="1" showErrorMessage="1" sqref="F14:F58 F64:F69 F78:F84">
      <formula1>"Ⅰ,Ⅱ,Ⅲ,Ⅳ,Ⅴ,Ⅵ"</formula1>
    </dataValidation>
    <dataValidation allowBlank="1" showInputMessage="1" showErrorMessage="1" sqref="F59:F63 F72:F74 F92:F101 F119:F136 F142:F144"/>
    <dataValidation type="list" allowBlank="1" showInputMessage="1" showErrorMessage="1" sqref="F70:F71">
      <formula1>"≤30m,＞30m"</formula1>
    </dataValidation>
    <dataValidation type="list" allowBlank="1" showInputMessage="1" showErrorMessage="1" sqref="F75:F77 F85:F91">
      <formula1>"Ⅰ,Ⅱ,Ⅲ"</formula1>
    </dataValidation>
    <dataValidation type="list" allowBlank="1" showInputMessage="1" showErrorMessage="1" sqref="L5:L96">
      <formula1>"甲级,乙级,丙级"</formula1>
    </dataValidation>
    <dataValidation type="list" allowBlank="1" showInputMessage="1" showErrorMessage="1" sqref="L104:L166">
      <formula1>"甲级,乙级,丙级,物探"</formula1>
    </dataValidation>
    <dataValidation type="list" allowBlank="1" showInputMessage="1" showErrorMessage="1" sqref="L167:L209">
      <formula1>"甲级,乙级,丙级,试验"</formula1>
    </dataValidation>
  </dataValidations>
  <pageMargins left="0.786805555555556" right="0.590277777777778" top="0.786805555555556" bottom="0.590277777777778" header="0.5" footer="0.196527777777778"/>
  <pageSetup paperSize="9" scale="61" orientation="landscape" horizontalDpi="600"/>
  <headerFooter>
    <oddFooter>&amp;L&amp;G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Y10"/>
  <sheetViews>
    <sheetView zoomScale="85" zoomScaleNormal="85" workbookViewId="0">
      <selection activeCell="O2" sqref="O2:Y2"/>
    </sheetView>
  </sheetViews>
  <sheetFormatPr defaultColWidth="8.72727272727273" defaultRowHeight="14"/>
  <cols>
    <col min="1" max="1" width="5.77272727272727" style="1" customWidth="1"/>
    <col min="2" max="2" width="20.6454545454545" style="2" customWidth="1"/>
    <col min="3" max="5" width="8.72727272727273" style="2"/>
    <col min="6" max="6" width="9.54545454545454" style="2"/>
    <col min="7" max="11" width="8.72727272727273" style="2"/>
    <col min="12" max="12" width="9.54545454545454" style="2"/>
    <col min="13" max="13" width="22.5636363636364" style="2" customWidth="1"/>
    <col min="14" max="14" width="22.4545454545455" style="1" customWidth="1"/>
    <col min="15" max="17" width="8.72727272727273" style="3"/>
    <col min="18" max="18" width="9.54545454545454" style="3"/>
    <col min="19" max="23" width="8.72727272727273" style="3"/>
    <col min="24" max="24" width="9.54545454545454" style="3"/>
    <col min="25" max="25" width="12.6181818181818" style="3" customWidth="1"/>
    <col min="26" max="16384" width="8.72727272727273" style="2"/>
  </cols>
  <sheetData>
    <row r="1" ht="17.5" spans="1:25">
      <c r="A1" s="4" t="s">
        <v>396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ht="15" spans="1:25">
      <c r="A2" s="5" t="s">
        <v>1</v>
      </c>
      <c r="B2" s="6" t="s">
        <v>397</v>
      </c>
      <c r="C2" s="7" t="s">
        <v>3</v>
      </c>
      <c r="D2" s="7"/>
      <c r="E2" s="7"/>
      <c r="F2" s="7"/>
      <c r="G2" s="7"/>
      <c r="H2" s="7"/>
      <c r="I2" s="7"/>
      <c r="J2" s="7"/>
      <c r="K2" s="7"/>
      <c r="L2" s="7"/>
      <c r="M2" s="7"/>
      <c r="N2" s="13"/>
      <c r="O2" s="14" t="s">
        <v>398</v>
      </c>
      <c r="P2" s="14"/>
      <c r="Q2" s="14"/>
      <c r="R2" s="14"/>
      <c r="S2" s="14"/>
      <c r="T2" s="14"/>
      <c r="U2" s="14"/>
      <c r="V2" s="14"/>
      <c r="W2" s="14"/>
      <c r="X2" s="14"/>
      <c r="Y2" s="14"/>
    </row>
    <row r="3" ht="78" spans="1:25">
      <c r="A3" s="5"/>
      <c r="B3" s="6"/>
      <c r="C3" s="8" t="s">
        <v>399</v>
      </c>
      <c r="D3" s="6" t="s">
        <v>400</v>
      </c>
      <c r="E3" s="6" t="s">
        <v>401</v>
      </c>
      <c r="F3" s="6" t="s">
        <v>402</v>
      </c>
      <c r="G3" s="6" t="s">
        <v>403</v>
      </c>
      <c r="H3" s="6" t="s">
        <v>404</v>
      </c>
      <c r="I3" s="6" t="s">
        <v>405</v>
      </c>
      <c r="J3" s="6" t="s">
        <v>406</v>
      </c>
      <c r="K3" s="6" t="s">
        <v>407</v>
      </c>
      <c r="L3" s="15" t="s">
        <v>116</v>
      </c>
      <c r="M3" s="5" t="s">
        <v>408</v>
      </c>
      <c r="N3" s="5" t="s">
        <v>10</v>
      </c>
      <c r="O3" s="16" t="s">
        <v>399</v>
      </c>
      <c r="P3" s="16" t="s">
        <v>400</v>
      </c>
      <c r="Q3" s="16" t="s">
        <v>401</v>
      </c>
      <c r="R3" s="16" t="s">
        <v>402</v>
      </c>
      <c r="S3" s="16" t="s">
        <v>403</v>
      </c>
      <c r="T3" s="16" t="s">
        <v>404</v>
      </c>
      <c r="U3" s="16" t="s">
        <v>405</v>
      </c>
      <c r="V3" s="16" t="s">
        <v>406</v>
      </c>
      <c r="W3" s="16" t="s">
        <v>407</v>
      </c>
      <c r="X3" s="21" t="s">
        <v>116</v>
      </c>
      <c r="Y3" s="23" t="s">
        <v>409</v>
      </c>
    </row>
    <row r="4" spans="1:25">
      <c r="A4" s="5">
        <v>1</v>
      </c>
      <c r="B4" s="194" t="s">
        <v>410</v>
      </c>
      <c r="C4" s="9">
        <v>400</v>
      </c>
      <c r="D4" s="9">
        <v>400</v>
      </c>
      <c r="E4" s="9">
        <v>400</v>
      </c>
      <c r="F4" s="9">
        <v>400</v>
      </c>
      <c r="G4" s="9">
        <v>400</v>
      </c>
      <c r="H4" s="9">
        <v>400</v>
      </c>
      <c r="I4" s="9">
        <v>400</v>
      </c>
      <c r="J4" s="9">
        <v>400</v>
      </c>
      <c r="K4" s="9">
        <v>500</v>
      </c>
      <c r="L4" s="17">
        <f>SUM(C4:J4)</f>
        <v>3200</v>
      </c>
      <c r="M4" s="5" t="s">
        <v>411</v>
      </c>
      <c r="N4" s="5" t="s">
        <v>412</v>
      </c>
      <c r="O4" s="18"/>
      <c r="P4" s="18"/>
      <c r="Q4" s="18"/>
      <c r="R4" s="18"/>
      <c r="S4" s="18"/>
      <c r="T4" s="18"/>
      <c r="U4" s="18"/>
      <c r="V4" s="18"/>
      <c r="W4" s="18"/>
      <c r="X4" s="22">
        <f t="shared" ref="X4:X9" si="0">SUM(O4:V4)</f>
        <v>0</v>
      </c>
      <c r="Y4" s="24"/>
    </row>
    <row r="5" spans="1:25">
      <c r="A5" s="5">
        <v>2</v>
      </c>
      <c r="B5" s="194" t="s">
        <v>413</v>
      </c>
      <c r="C5" s="9">
        <v>400</v>
      </c>
      <c r="D5" s="9">
        <v>400</v>
      </c>
      <c r="E5" s="9">
        <v>400</v>
      </c>
      <c r="F5" s="9">
        <v>400</v>
      </c>
      <c r="G5" s="9">
        <v>400</v>
      </c>
      <c r="H5" s="9">
        <v>400</v>
      </c>
      <c r="I5" s="9">
        <v>400</v>
      </c>
      <c r="J5" s="9">
        <v>1800</v>
      </c>
      <c r="K5" s="9"/>
      <c r="L5" s="17">
        <f>SUM(C5:J5)</f>
        <v>4600</v>
      </c>
      <c r="M5" s="5" t="s">
        <v>414</v>
      </c>
      <c r="N5" s="5"/>
      <c r="O5" s="18"/>
      <c r="P5" s="18"/>
      <c r="Q5" s="18"/>
      <c r="R5" s="18"/>
      <c r="S5" s="18"/>
      <c r="T5" s="18"/>
      <c r="U5" s="18"/>
      <c r="V5" s="18"/>
      <c r="W5" s="18"/>
      <c r="X5" s="22">
        <f t="shared" si="0"/>
        <v>0</v>
      </c>
      <c r="Y5" s="24"/>
    </row>
    <row r="6" spans="1:25">
      <c r="A6" s="5">
        <v>3</v>
      </c>
      <c r="B6" s="194" t="s">
        <v>415</v>
      </c>
      <c r="C6" s="9"/>
      <c r="D6" s="9">
        <v>400</v>
      </c>
      <c r="E6" s="9">
        <v>400</v>
      </c>
      <c r="F6" s="9">
        <v>400</v>
      </c>
      <c r="G6" s="9"/>
      <c r="H6" s="9"/>
      <c r="I6" s="9"/>
      <c r="J6" s="9"/>
      <c r="K6" s="9"/>
      <c r="L6" s="17">
        <f>SUM(C6:J6)</f>
        <v>1200</v>
      </c>
      <c r="M6" s="5" t="s">
        <v>416</v>
      </c>
      <c r="N6" s="5"/>
      <c r="O6" s="18"/>
      <c r="P6" s="18"/>
      <c r="Q6" s="18"/>
      <c r="R6" s="18"/>
      <c r="S6" s="18"/>
      <c r="T6" s="18"/>
      <c r="U6" s="18"/>
      <c r="V6" s="18"/>
      <c r="W6" s="18"/>
      <c r="X6" s="22">
        <f t="shared" si="0"/>
        <v>0</v>
      </c>
      <c r="Y6" s="24"/>
    </row>
    <row r="7" spans="1:25">
      <c r="A7" s="5"/>
      <c r="B7" s="9"/>
      <c r="C7" s="9"/>
      <c r="D7" s="9"/>
      <c r="E7" s="9"/>
      <c r="F7" s="9"/>
      <c r="G7" s="9"/>
      <c r="H7" s="9"/>
      <c r="I7" s="9"/>
      <c r="J7" s="9"/>
      <c r="K7" s="9"/>
      <c r="L7" s="17"/>
      <c r="M7" s="5"/>
      <c r="N7" s="5"/>
      <c r="O7" s="18"/>
      <c r="P7" s="18"/>
      <c r="Q7" s="18"/>
      <c r="R7" s="18"/>
      <c r="S7" s="18"/>
      <c r="T7" s="18"/>
      <c r="U7" s="18"/>
      <c r="V7" s="18"/>
      <c r="W7" s="18"/>
      <c r="X7" s="22"/>
      <c r="Y7" s="24"/>
    </row>
    <row r="8" spans="1:25">
      <c r="A8" s="5"/>
      <c r="B8" s="9"/>
      <c r="C8" s="9"/>
      <c r="D8" s="9"/>
      <c r="E8" s="9"/>
      <c r="F8" s="9"/>
      <c r="G8" s="9"/>
      <c r="H8" s="9"/>
      <c r="I8" s="9"/>
      <c r="J8" s="9"/>
      <c r="K8" s="9"/>
      <c r="L8" s="17"/>
      <c r="M8" s="5"/>
      <c r="N8" s="5"/>
      <c r="O8" s="18"/>
      <c r="P8" s="18"/>
      <c r="Q8" s="18"/>
      <c r="R8" s="18"/>
      <c r="S8" s="18"/>
      <c r="T8" s="18"/>
      <c r="U8" s="18"/>
      <c r="V8" s="18"/>
      <c r="W8" s="18"/>
      <c r="X8" s="22"/>
      <c r="Y8" s="24"/>
    </row>
    <row r="9" spans="1:25">
      <c r="A9" s="5"/>
      <c r="B9" s="9" t="s">
        <v>417</v>
      </c>
      <c r="C9" s="9"/>
      <c r="D9" s="9"/>
      <c r="E9" s="9"/>
      <c r="F9" s="9"/>
      <c r="G9" s="9"/>
      <c r="H9" s="9"/>
      <c r="I9" s="9"/>
      <c r="J9" s="9"/>
      <c r="K9" s="9"/>
      <c r="L9" s="17">
        <f>SUM(C9:J9)</f>
        <v>0</v>
      </c>
      <c r="M9" s="19"/>
      <c r="N9" s="5"/>
      <c r="O9" s="18"/>
      <c r="P9" s="18"/>
      <c r="Q9" s="18"/>
      <c r="R9" s="18"/>
      <c r="S9" s="18"/>
      <c r="T9" s="18"/>
      <c r="U9" s="18"/>
      <c r="V9" s="18"/>
      <c r="W9" s="18"/>
      <c r="X9" s="22">
        <f t="shared" si="0"/>
        <v>0</v>
      </c>
      <c r="Y9" s="24"/>
    </row>
    <row r="10" spans="1:25">
      <c r="A10" s="5"/>
      <c r="B10" s="10" t="s">
        <v>116</v>
      </c>
      <c r="C10" s="11">
        <f t="shared" ref="C10:L10" si="1">SUM(C4:C9)</f>
        <v>800</v>
      </c>
      <c r="D10" s="11">
        <f t="shared" si="1"/>
        <v>1200</v>
      </c>
      <c r="E10" s="11">
        <f t="shared" si="1"/>
        <v>1200</v>
      </c>
      <c r="F10" s="11">
        <f t="shared" si="1"/>
        <v>1200</v>
      </c>
      <c r="G10" s="11">
        <f t="shared" si="1"/>
        <v>800</v>
      </c>
      <c r="H10" s="11">
        <f t="shared" si="1"/>
        <v>800</v>
      </c>
      <c r="I10" s="11">
        <f t="shared" si="1"/>
        <v>800</v>
      </c>
      <c r="J10" s="11">
        <f t="shared" si="1"/>
        <v>2200</v>
      </c>
      <c r="K10" s="11">
        <f t="shared" si="1"/>
        <v>500</v>
      </c>
      <c r="L10" s="11">
        <f t="shared" si="1"/>
        <v>9000</v>
      </c>
      <c r="M10" s="19"/>
      <c r="N10" s="5"/>
      <c r="O10" s="20">
        <f t="shared" ref="L10:V10" si="2">SUM(O4:O9)</f>
        <v>0</v>
      </c>
      <c r="P10" s="20">
        <f t="shared" si="2"/>
        <v>0</v>
      </c>
      <c r="Q10" s="20">
        <f t="shared" si="2"/>
        <v>0</v>
      </c>
      <c r="R10" s="20">
        <f t="shared" si="2"/>
        <v>0</v>
      </c>
      <c r="S10" s="20">
        <f t="shared" si="2"/>
        <v>0</v>
      </c>
      <c r="T10" s="20">
        <f t="shared" si="2"/>
        <v>0</v>
      </c>
      <c r="U10" s="20">
        <f t="shared" si="2"/>
        <v>0</v>
      </c>
      <c r="V10" s="20">
        <f t="shared" si="2"/>
        <v>0</v>
      </c>
      <c r="W10" s="20"/>
      <c r="X10" s="20">
        <f>SUM(X4:X9)</f>
        <v>0</v>
      </c>
      <c r="Y10" s="24"/>
    </row>
  </sheetData>
  <mergeCells count="5">
    <mergeCell ref="A1:N1"/>
    <mergeCell ref="C2:N2"/>
    <mergeCell ref="O2:Y2"/>
    <mergeCell ref="A2:A3"/>
    <mergeCell ref="B2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汇总表</vt:lpstr>
      <vt:lpstr>表1 测量费，注所有单体都放一张表中</vt:lpstr>
      <vt:lpstr>表2-1 XX勘察费，注每个单体一张表</vt:lpstr>
      <vt:lpstr>表3 其他费用(一次报送)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 </cp:lastModifiedBy>
  <dcterms:created xsi:type="dcterms:W3CDTF">2020-02-29T20:10:00Z</dcterms:created>
  <dcterms:modified xsi:type="dcterms:W3CDTF">2026-07-23T02:43:30Z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98537484BA3D0F996F0CBC6650C809D5_43</vt:lpwstr>
  </property>
</Properties>
</file>