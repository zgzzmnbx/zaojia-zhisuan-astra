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Codex-Temp\260612-【ai大赛】-管勘智算-V2.0\08-测试与演示\测试-V3.1-260802\"/>
    </mc:Choice>
  </mc:AlternateContent>
  <xr:revisionPtr revIDLastSave="0" documentId="13_ncr:1_{BA9165FD-8A1A-4E59-A1C2-13BE1E339B72}" xr6:coauthVersionLast="47" xr6:coauthVersionMax="47" xr10:uidLastSave="{00000000-0000-0000-0000-000000000000}"/>
  <bookViews>
    <workbookView xWindow="-120" yWindow="-120" windowWidth="51840" windowHeight="21120" xr2:uid="{EB93DAF8-A9BF-4A7E-93ED-BF97D34ABE36}"/>
  </bookViews>
  <sheets>
    <sheet name="费用汇总" sheetId="10" r:id="rId1"/>
    <sheet name="表1-长输管道工程勘测费用" sheetId="5" r:id="rId2"/>
    <sheet name="表2-通用工程测量费用" sheetId="6" r:id="rId3"/>
    <sheet name="表3-地质测绘" sheetId="13" r:id="rId4"/>
    <sheet name="表4-通用工程勘察费用" sheetId="1" r:id="rId5"/>
    <sheet name="表5-其他费用" sheetId="12" r:id="rId6"/>
  </sheets>
  <definedNames>
    <definedName name="_xlnm._FilterDatabase" localSheetId="2">'表2-通用工程测量费用'!$A$3:$AP$30</definedName>
    <definedName name="_xlnm._FilterDatabase" localSheetId="3">'表3-地质测绘'!$A$3:$AT$3</definedName>
    <definedName name="_xlnm._FilterDatabase" localSheetId="4">'表4-通用工程勘察费用'!$A$3:$AT$8</definedName>
    <definedName name="_xlnm.Print_Area" localSheetId="2">'表2-通用工程测量费用'!$A$1:$P$29</definedName>
    <definedName name="_xlnm.Print_Area" localSheetId="3">'表3-地质测绘'!$A$1:$T$9</definedName>
    <definedName name="_xlnm.Print_Area" localSheetId="5">'表5-其他费用'!$A$1:$R$17</definedName>
    <definedName name="_xlnm.Print_Area" localSheetId="0">费用汇总!$A$1:$D$14</definedName>
    <definedName name="_xlnm.Print_Titles" localSheetId="2">'表2-通用工程测量费用'!$1:$3</definedName>
    <definedName name="_xlnm.Print_Titles" localSheetId="4">'表4-通用工程勘察费用'!$1:$3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6" i="6" l="1"/>
  <c r="AB6" i="6"/>
  <c r="AA7" i="6"/>
  <c r="AB7" i="6"/>
  <c r="AA8" i="6"/>
  <c r="AB8" i="6"/>
  <c r="AA9" i="6"/>
  <c r="AB9" i="6"/>
  <c r="AA10" i="6"/>
  <c r="AB10" i="6"/>
  <c r="AA11" i="6"/>
  <c r="AB11" i="6"/>
  <c r="AA12" i="6"/>
  <c r="AB12" i="6"/>
  <c r="AA13" i="6"/>
  <c r="AB13" i="6"/>
  <c r="AA14" i="6"/>
  <c r="AB14" i="6"/>
  <c r="AA15" i="6"/>
  <c r="AB15" i="6"/>
  <c r="Z16" i="6"/>
  <c r="AA16" i="6"/>
  <c r="AB16" i="6"/>
  <c r="AA17" i="6"/>
  <c r="AB17" i="6"/>
  <c r="AA18" i="6"/>
  <c r="AB18" i="6"/>
  <c r="AA19" i="6"/>
  <c r="AB19" i="6"/>
  <c r="AA20" i="6"/>
  <c r="AB20" i="6"/>
  <c r="AA21" i="6"/>
  <c r="AB21" i="6"/>
  <c r="AA22" i="6"/>
  <c r="AB22" i="6"/>
  <c r="AA23" i="6"/>
  <c r="AB23" i="6"/>
  <c r="AA24" i="6"/>
  <c r="AB24" i="6"/>
  <c r="AA25" i="6"/>
  <c r="AB25" i="6"/>
  <c r="AA26" i="6"/>
  <c r="AB26" i="6"/>
  <c r="AA27" i="6"/>
  <c r="AB27" i="6"/>
  <c r="AA28" i="6"/>
  <c r="AB28" i="6"/>
  <c r="Z29" i="6"/>
  <c r="AA29" i="6"/>
  <c r="AB29" i="6"/>
  <c r="AB5" i="6"/>
  <c r="AA5" i="6"/>
  <c r="AE6" i="13"/>
  <c r="AE7" i="13"/>
  <c r="AE8" i="13"/>
  <c r="AD9" i="13"/>
  <c r="AE9" i="13"/>
  <c r="AF9" i="13"/>
  <c r="AE5" i="13"/>
  <c r="AE6" i="1"/>
  <c r="AE7" i="1"/>
  <c r="AF5" i="1"/>
  <c r="AE5" i="1"/>
  <c r="AD5" i="1"/>
  <c r="AB7" i="1"/>
  <c r="AF7" i="1" s="1"/>
  <c r="AB6" i="1"/>
  <c r="AF6" i="1" s="1"/>
  <c r="AB8" i="13"/>
  <c r="AF8" i="13" s="1"/>
  <c r="AB7" i="13"/>
  <c r="AF7" i="13" s="1"/>
  <c r="AB6" i="13"/>
  <c r="AF6" i="13" s="1"/>
  <c r="AB5" i="13"/>
  <c r="AF5" i="13" s="1"/>
  <c r="T28" i="6"/>
  <c r="Z28" i="6" s="1"/>
  <c r="T27" i="6"/>
  <c r="Z27" i="6" s="1"/>
  <c r="T26" i="6"/>
  <c r="Z26" i="6" s="1"/>
  <c r="T25" i="6"/>
  <c r="Z25" i="6" s="1"/>
  <c r="T24" i="6"/>
  <c r="Z24" i="6" s="1"/>
  <c r="T23" i="6"/>
  <c r="Z23" i="6" s="1"/>
  <c r="T22" i="6"/>
  <c r="Z22" i="6" s="1"/>
  <c r="T21" i="6"/>
  <c r="Z21" i="6" s="1"/>
  <c r="T20" i="6"/>
  <c r="Z20" i="6" s="1"/>
  <c r="T19" i="6"/>
  <c r="Z19" i="6" s="1"/>
  <c r="T18" i="6"/>
  <c r="Z18" i="6" s="1"/>
  <c r="T17" i="6"/>
  <c r="Z17" i="6" s="1"/>
  <c r="T15" i="6"/>
  <c r="Z15" i="6" s="1"/>
  <c r="T14" i="6"/>
  <c r="Z14" i="6" s="1"/>
  <c r="T13" i="6"/>
  <c r="Z13" i="6" s="1"/>
  <c r="T12" i="6"/>
  <c r="Z12" i="6" s="1"/>
  <c r="T11" i="6"/>
  <c r="Z11" i="6" s="1"/>
  <c r="T10" i="6"/>
  <c r="Z10" i="6" s="1"/>
  <c r="T9" i="6"/>
  <c r="Z9" i="6" s="1"/>
  <c r="T8" i="6"/>
  <c r="Z8" i="6" s="1"/>
  <c r="T7" i="6"/>
  <c r="Z7" i="6" s="1"/>
  <c r="T6" i="6"/>
  <c r="Z6" i="6" s="1"/>
  <c r="T5" i="6"/>
  <c r="Z5" i="6" s="1"/>
  <c r="X7" i="1"/>
  <c r="AD7" i="1" s="1"/>
  <c r="X6" i="1"/>
  <c r="AD6" i="1" s="1"/>
  <c r="X8" i="13"/>
  <c r="AD8" i="13" s="1"/>
  <c r="X7" i="13"/>
  <c r="AD7" i="13" s="1"/>
  <c r="X6" i="13"/>
  <c r="AD6" i="13" s="1"/>
  <c r="X5" i="13"/>
  <c r="AD5" i="13" s="1"/>
  <c r="N8" i="13"/>
  <c r="N7" i="13"/>
  <c r="N6" i="13"/>
  <c r="N5" i="13"/>
  <c r="K22" i="6"/>
  <c r="N22" i="6" s="1"/>
  <c r="K5" i="6"/>
  <c r="R17" i="12"/>
  <c r="Q17" i="12"/>
  <c r="N17" i="12"/>
  <c r="R16" i="12"/>
  <c r="N16" i="12"/>
  <c r="R15" i="12"/>
  <c r="N15" i="12"/>
  <c r="R14" i="12"/>
  <c r="N14" i="12"/>
  <c r="R13" i="12"/>
  <c r="N13" i="12"/>
  <c r="R12" i="12"/>
  <c r="N12" i="12"/>
  <c r="R11" i="12"/>
  <c r="N11" i="12"/>
  <c r="R10" i="12"/>
  <c r="N10" i="12"/>
  <c r="R9" i="12"/>
  <c r="N9" i="12"/>
  <c r="R8" i="12"/>
  <c r="N8" i="12"/>
  <c r="R7" i="12"/>
  <c r="N7" i="12"/>
  <c r="R6" i="12"/>
  <c r="N6" i="12"/>
  <c r="R5" i="12"/>
  <c r="N5" i="12"/>
  <c r="R4" i="12"/>
  <c r="N4" i="12"/>
  <c r="N7" i="1"/>
  <c r="N6" i="1"/>
  <c r="N5" i="1"/>
  <c r="Q5" i="1" s="1"/>
  <c r="R5" i="1" s="1"/>
  <c r="K28" i="6"/>
  <c r="K27" i="6"/>
  <c r="K26" i="6"/>
  <c r="K25" i="6"/>
  <c r="K24" i="6"/>
  <c r="K23" i="6"/>
  <c r="M23" i="6" s="1"/>
  <c r="N23" i="6" s="1"/>
  <c r="K21" i="6"/>
  <c r="N21" i="6" s="1"/>
  <c r="K20" i="6"/>
  <c r="N20" i="6" s="1"/>
  <c r="K19" i="6"/>
  <c r="N19" i="6" s="1"/>
  <c r="K18" i="6"/>
  <c r="N18" i="6" s="1"/>
  <c r="K17" i="6"/>
  <c r="N17" i="6" s="1"/>
  <c r="K16" i="6"/>
  <c r="N16" i="6" s="1"/>
  <c r="K15" i="6"/>
  <c r="K14" i="6"/>
  <c r="K13" i="6"/>
  <c r="K12" i="6"/>
  <c r="K11" i="6"/>
  <c r="K10" i="6"/>
  <c r="K9" i="6"/>
  <c r="K8" i="6"/>
  <c r="K7" i="6"/>
  <c r="K6" i="6"/>
  <c r="I9" i="5"/>
  <c r="I5" i="5"/>
  <c r="F5" i="5"/>
  <c r="I4" i="5"/>
  <c r="F4" i="5"/>
  <c r="C11" i="10"/>
  <c r="C4" i="10"/>
  <c r="Q7" i="13" l="1"/>
  <c r="R7" i="13" s="1"/>
  <c r="Q8" i="13"/>
  <c r="R8" i="13" s="1"/>
  <c r="N9" i="13"/>
  <c r="Q5" i="13"/>
  <c r="R5" i="13" s="1"/>
  <c r="Q6" i="13"/>
  <c r="R6" i="13" s="1"/>
  <c r="M15" i="6"/>
  <c r="M7" i="6"/>
  <c r="M12" i="6"/>
  <c r="M13" i="6"/>
  <c r="M14" i="6"/>
  <c r="M8" i="6"/>
  <c r="M6" i="6"/>
  <c r="M9" i="6"/>
  <c r="M10" i="6"/>
  <c r="M11" i="6"/>
  <c r="M5" i="6"/>
  <c r="Q6" i="1"/>
  <c r="Q7" i="1"/>
  <c r="R7" i="1" s="1"/>
  <c r="M26" i="6"/>
  <c r="M27" i="6"/>
  <c r="M28" i="6"/>
  <c r="M24" i="6"/>
  <c r="K29" i="6"/>
  <c r="M25" i="6"/>
  <c r="N15" i="6" l="1"/>
  <c r="N27" i="6"/>
  <c r="N24" i="6"/>
  <c r="N26" i="6"/>
  <c r="N6" i="6"/>
  <c r="N12" i="6"/>
  <c r="N28" i="6"/>
  <c r="N5" i="6"/>
  <c r="N11" i="6"/>
  <c r="N10" i="6"/>
  <c r="N9" i="6"/>
  <c r="N8" i="6"/>
  <c r="N14" i="6"/>
  <c r="N13" i="6"/>
  <c r="N7" i="6"/>
  <c r="Q9" i="13"/>
  <c r="R9" i="13"/>
  <c r="C6" i="10" s="1"/>
  <c r="R6" i="1"/>
  <c r="M29" i="6"/>
  <c r="N25" i="6"/>
  <c r="N29" i="6" l="1"/>
  <c r="C5" i="10" s="1"/>
  <c r="N8" i="1" l="1"/>
  <c r="Q8" i="1"/>
  <c r="R8" i="1" l="1"/>
  <c r="C7" i="10" s="1"/>
  <c r="C8" i="10" s="1"/>
  <c r="C10" i="10" s="1"/>
  <c r="C12" i="10" s="1"/>
  <c r="C13" i="10" s="1"/>
  <c r="C14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tc={CE01A1B9-1B20-4AAD-8085-9602F73D1194}</author>
    <author>石萌</author>
  </authors>
  <commentList>
    <comment ref="H2" authorId="0" shapeId="0" xr:uid="{CE01A1B9-1B20-4AAD-8085-9602F73D1194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“动手干活”的钱 </t>
      </text>
    </comment>
    <comment ref="L2" authorId="1" shapeId="0" xr:uid="{794F492C-A812-4E50-A0CF-CB280B079782}">
      <text>
        <r>
          <rPr>
            <b/>
            <sz val="9"/>
            <color indexed="81"/>
            <rFont val="宋体"/>
            <family val="3"/>
            <charset val="134"/>
          </rPr>
          <t>石萌:</t>
        </r>
        <r>
          <rPr>
            <sz val="9"/>
            <color indexed="81"/>
            <rFont val="宋体"/>
            <family val="3"/>
            <charset val="134"/>
          </rPr>
          <t xml:space="preserve">
 “动脑设计、管理”的钱</t>
        </r>
      </text>
    </comment>
  </commentList>
</comments>
</file>

<file path=xl/sharedStrings.xml><?xml version="1.0" encoding="utf-8"?>
<sst xmlns="http://schemas.openxmlformats.org/spreadsheetml/2006/main" count="520" uniqueCount="248">
  <si>
    <t>项目名称：铜梁/江津-遵义-贵阳天然气管道勘察测量（标段一）</t>
  </si>
  <si>
    <t>序号</t>
  </si>
  <si>
    <t>项目</t>
  </si>
  <si>
    <t>费用（万元）</t>
  </si>
  <si>
    <t>备注</t>
  </si>
  <si>
    <t>长输管道线路工程勘察测量费用</t>
  </si>
  <si>
    <t>测算明细见附表1</t>
  </si>
  <si>
    <t>通用工程测量费用</t>
  </si>
  <si>
    <t>测算明细见附表2</t>
  </si>
  <si>
    <t>地质测绘费用</t>
  </si>
  <si>
    <t>测算明细见附表3</t>
  </si>
  <si>
    <t>通用工程勘察费用</t>
  </si>
  <si>
    <t>测算明细见附表4</t>
  </si>
  <si>
    <t>小计</t>
  </si>
  <si>
    <t>管网其他费用和相关费用计价依据</t>
  </si>
  <si>
    <t>浮动后勘察费</t>
  </si>
  <si>
    <t>其他相关费用</t>
  </si>
  <si>
    <t>测算明细见附表5</t>
  </si>
  <si>
    <t>合计（含税）</t>
  </si>
  <si>
    <t>合计（不含税）</t>
  </si>
  <si>
    <t>增值税</t>
  </si>
  <si>
    <t>工作任务</t>
  </si>
  <si>
    <t>类别或级别</t>
  </si>
  <si>
    <t>费用（元）</t>
  </si>
  <si>
    <t>收费标准里对应条款</t>
  </si>
  <si>
    <t>名称</t>
  </si>
  <si>
    <t>划分</t>
  </si>
  <si>
    <t>单位</t>
  </si>
  <si>
    <t>基价（元）</t>
  </si>
  <si>
    <t>数量</t>
  </si>
  <si>
    <t>附加调整系数</t>
  </si>
  <si>
    <t>初步勘察</t>
  </si>
  <si>
    <t>Ⅱ</t>
  </si>
  <si>
    <t>km</t>
  </si>
  <si>
    <t>表12.3-1</t>
  </si>
  <si>
    <t>详细勘察</t>
  </si>
  <si>
    <t>Ⅲ</t>
  </si>
  <si>
    <t>合计</t>
  </si>
  <si>
    <t>实物工作费（元）</t>
  </si>
  <si>
    <t>技术工作费（元）</t>
  </si>
  <si>
    <t>金额合计（元）</t>
  </si>
  <si>
    <t>标段一</t>
  </si>
  <si>
    <t>标段二</t>
  </si>
  <si>
    <t>内容</t>
  </si>
  <si>
    <t>类别</t>
  </si>
  <si>
    <t>调整系数</t>
  </si>
  <si>
    <t>中等</t>
  </si>
  <si>
    <t>个</t>
  </si>
  <si>
    <t>GPS测量E级</t>
  </si>
  <si>
    <t>河流静态</t>
  </si>
  <si>
    <t>复杂</t>
  </si>
  <si>
    <t>点</t>
  </si>
  <si>
    <t>连片鱼塘静态</t>
  </si>
  <si>
    <t>山岭隧道静态</t>
  </si>
  <si>
    <t>山体定向钻静态</t>
  </si>
  <si>
    <t>站场静态</t>
  </si>
  <si>
    <t>阀室RTK</t>
  </si>
  <si>
    <t>三角（边）一级</t>
  </si>
  <si>
    <t>渣场RTK</t>
  </si>
  <si>
    <t>公路、铁路RTK</t>
  </si>
  <si>
    <t>小型穿越RTK</t>
  </si>
  <si>
    <t>数据采集</t>
  </si>
  <si>
    <t>1:2000</t>
  </si>
  <si>
    <t>/</t>
  </si>
  <si>
    <t>行业市场价3500-5500</t>
  </si>
  <si>
    <t>Ⅲ类</t>
  </si>
  <si>
    <t>幅</t>
  </si>
  <si>
    <t>航线网布点核减15%</t>
  </si>
  <si>
    <t>Ⅱ类</t>
  </si>
  <si>
    <t>DLG</t>
  </si>
  <si>
    <t>室内外综合判调，定额增加20%，带宽系数15%</t>
  </si>
  <si>
    <t>DEM</t>
  </si>
  <si>
    <t>DOM</t>
  </si>
  <si>
    <t>1:50000</t>
  </si>
  <si>
    <t>山岭隧道（洞身）</t>
  </si>
  <si>
    <r>
      <rPr>
        <sz val="10"/>
        <rFont val="宋体"/>
        <family val="3"/>
        <charset val="134"/>
        <scheme val="minor"/>
      </rPr>
      <t>km</t>
    </r>
    <r>
      <rPr>
        <vertAlign val="superscript"/>
        <sz val="10"/>
        <rFont val="宋体"/>
        <family val="3"/>
        <charset val="134"/>
        <scheme val="minor"/>
      </rPr>
      <t>2</t>
    </r>
  </si>
  <si>
    <t>山岭隧道（洞口、渣场）</t>
  </si>
  <si>
    <t>1:500</t>
  </si>
  <si>
    <t>1:1000</t>
  </si>
  <si>
    <t>数字化测绘系数1.5</t>
  </si>
  <si>
    <t>表2.3-1</t>
  </si>
  <si>
    <t>ID</t>
  </si>
  <si>
    <t>金额合计</t>
  </si>
  <si>
    <t>级别</t>
  </si>
  <si>
    <t>取费系数说明</t>
  </si>
  <si>
    <t>（元）</t>
  </si>
  <si>
    <t>地质测绘</t>
  </si>
  <si>
    <t>成图比例</t>
  </si>
  <si>
    <t>甲级</t>
  </si>
  <si>
    <t>表3.2-1、表3.2-2</t>
  </si>
  <si>
    <t>工程量合计</t>
  </si>
  <si>
    <t>组日</t>
  </si>
  <si>
    <t>D≤10</t>
  </si>
  <si>
    <t>m</t>
  </si>
  <si>
    <t>表3.3-2、表3.3-5</t>
  </si>
  <si>
    <t>泥浆护壁系数1.5</t>
  </si>
  <si>
    <t>Ⅳ</t>
  </si>
  <si>
    <t>件</t>
  </si>
  <si>
    <t>孔</t>
  </si>
  <si>
    <t>项</t>
  </si>
  <si>
    <t>办理工程勘察相关许可</t>
  </si>
  <si>
    <t>处</t>
  </si>
  <si>
    <t>通航巡护（长江）</t>
  </si>
  <si>
    <t>购买资料费</t>
  </si>
  <si>
    <t>水文资料搜集费</t>
  </si>
  <si>
    <t>拆除障碍物，开挖以及修复地下管线</t>
  </si>
  <si>
    <t>修通至作业现场道路，接通电源、水源以及平整场地</t>
  </si>
  <si>
    <t>勘察材料以及加工、封孔费</t>
  </si>
  <si>
    <t>水上作业用船、排、平台以及水监</t>
  </si>
  <si>
    <t>钻机搬运费</t>
  </si>
  <si>
    <t>勘察作业大型机具搬运（隧道）</t>
  </si>
  <si>
    <t>青苗、树木以及水域养殖物赔偿等</t>
  </si>
  <si>
    <t>样品包装及运输费</t>
  </si>
  <si>
    <t>一级林地报批报告</t>
  </si>
  <si>
    <t>工程勘察实物工作费（元）</t>
    <phoneticPr fontId="9" type="noConversion"/>
  </si>
  <si>
    <t>工程勘察技术工作费（元）</t>
    <phoneticPr fontId="9" type="noConversion"/>
  </si>
  <si>
    <t>内容</t>
    <phoneticPr fontId="9" type="noConversion"/>
  </si>
  <si>
    <t>类别</t>
    <phoneticPr fontId="9" type="noConversion"/>
  </si>
  <si>
    <t>比例尺</t>
    <phoneticPr fontId="9" type="noConversion"/>
  </si>
  <si>
    <t>首级控制测量</t>
    <phoneticPr fontId="9" type="noConversion"/>
  </si>
  <si>
    <t>GPS测量C级</t>
    <phoneticPr fontId="9" type="noConversion"/>
  </si>
  <si>
    <t>中等</t>
    <phoneticPr fontId="9" type="noConversion"/>
  </si>
  <si>
    <t>地图编制</t>
    <phoneticPr fontId="9" type="noConversion"/>
  </si>
  <si>
    <t>数字化测绘系数1.5、植被覆盖系数1.3</t>
    <phoneticPr fontId="9" type="noConversion"/>
  </si>
  <si>
    <t>钻探</t>
    <phoneticPr fontId="9" type="noConversion"/>
  </si>
  <si>
    <t>陆上</t>
    <phoneticPr fontId="9" type="noConversion"/>
  </si>
  <si>
    <t>岩土工程勘察</t>
    <phoneticPr fontId="9" type="noConversion"/>
  </si>
  <si>
    <t>表2.2-2</t>
    <phoneticPr fontId="9" type="noConversion"/>
  </si>
  <si>
    <t>地形图测绘（地形测量）</t>
    <phoneticPr fontId="9" type="noConversion"/>
  </si>
  <si>
    <t>工程量合计</t>
    <phoneticPr fontId="9" type="noConversion"/>
  </si>
  <si>
    <t>要素1</t>
    <phoneticPr fontId="9" type="noConversion"/>
  </si>
  <si>
    <t>单位</t>
    <phoneticPr fontId="9" type="noConversion"/>
  </si>
  <si>
    <t>要素2</t>
    <phoneticPr fontId="9" type="noConversion"/>
  </si>
  <si>
    <t>要素4</t>
    <phoneticPr fontId="9" type="noConversion"/>
  </si>
  <si>
    <t>要素5</t>
    <phoneticPr fontId="9" type="noConversion"/>
  </si>
  <si>
    <t>要素3</t>
    <phoneticPr fontId="9" type="noConversion"/>
  </si>
  <si>
    <t>实物工作费调整系数-测试</t>
    <phoneticPr fontId="9" type="noConversion"/>
  </si>
  <si>
    <t>技术工作费调整系数-测试</t>
    <phoneticPr fontId="9" type="noConversion"/>
  </si>
  <si>
    <t>单价匹配-测试</t>
    <phoneticPr fontId="9" type="noConversion"/>
  </si>
  <si>
    <t>映射行</t>
    <phoneticPr fontId="9" type="noConversion"/>
  </si>
  <si>
    <t>附表4油气长输管道通用工程勘察费用测算表</t>
  </si>
  <si>
    <t>附表2油气长输管道通用工程测量费用测算表</t>
  </si>
  <si>
    <t>附表3油气长输管道通用工程地质测绘费用测算表</t>
  </si>
  <si>
    <t>附表1油气长输管道线路工程勘察测量费用测算表</t>
  </si>
  <si>
    <t>油气长输管道工程勘察测量费用测算表</t>
  </si>
  <si>
    <t>附表5工程勘察其他费用测算表</t>
    <phoneticPr fontId="9" type="noConversion"/>
  </si>
  <si>
    <r>
      <t>km</t>
    </r>
    <r>
      <rPr>
        <vertAlign val="superscript"/>
        <sz val="10"/>
        <rFont val="宋体"/>
        <family val="3"/>
        <charset val="134"/>
        <scheme val="major"/>
      </rPr>
      <t>2</t>
    </r>
  </si>
  <si>
    <t>差值校验</t>
    <phoneticPr fontId="9" type="noConversion"/>
  </si>
  <si>
    <t>基价（元）</t>
    <phoneticPr fontId="9" type="noConversion"/>
  </si>
  <si>
    <t>匹配报告预留位置</t>
  </si>
  <si>
    <t>匹配状态</t>
  </si>
  <si>
    <t>候选数量</t>
  </si>
  <si>
    <t>匹配说明</t>
  </si>
  <si>
    <t>匹配说明-实物工作费调整系数</t>
    <phoneticPr fontId="9" type="noConversion"/>
  </si>
  <si>
    <t>匹配说明-技术工作费调整系数</t>
    <phoneticPr fontId="9" type="noConversion"/>
  </si>
  <si>
    <r>
      <t>（</t>
    </r>
    <r>
      <rPr>
        <b/>
        <sz val="10"/>
        <color rgb="FF00B050"/>
        <rFont val="宋体"/>
        <family val="3"/>
        <charset val="134"/>
        <scheme val="major"/>
      </rPr>
      <t>09标准</t>
    </r>
    <r>
      <rPr>
        <sz val="10"/>
        <color theme="1"/>
        <rFont val="宋体"/>
        <family val="3"/>
        <charset val="134"/>
        <scheme val="major"/>
      </rPr>
      <t>）地图编制</t>
    </r>
    <r>
      <rPr>
        <b/>
        <sz val="10"/>
        <color rgb="FF00B050"/>
        <rFont val="宋体"/>
        <family val="3"/>
        <charset val="134"/>
        <scheme val="major"/>
      </rPr>
      <t>-P19</t>
    </r>
    <phoneticPr fontId="9" type="noConversion"/>
  </si>
  <si>
    <r>
      <t>（</t>
    </r>
    <r>
      <rPr>
        <b/>
        <sz val="10"/>
        <color rgb="FF00B050"/>
        <rFont val="宋体"/>
        <family val="3"/>
        <charset val="134"/>
        <scheme val="major"/>
      </rPr>
      <t>09标准</t>
    </r>
    <r>
      <rPr>
        <sz val="10"/>
        <color theme="1"/>
        <rFont val="宋体"/>
        <family val="3"/>
        <charset val="134"/>
        <scheme val="major"/>
      </rPr>
      <t>）摄影测量与遥感</t>
    </r>
    <phoneticPr fontId="9" type="noConversion"/>
  </si>
  <si>
    <t>带状工程地质测绘系数:1.3</t>
    <phoneticPr fontId="9" type="noConversion"/>
  </si>
  <si>
    <t>实物工作费（元）</t>
    <phoneticPr fontId="9" type="noConversion"/>
  </si>
  <si>
    <t>《使用手册》第39—40页是地质测绘收费基价和附加调整规则。</t>
    <phoneticPr fontId="9" type="noConversion"/>
  </si>
  <si>
    <t>【实物工作费附加调整系数】</t>
    <phoneticPr fontId="9" type="noConversion"/>
  </si>
  <si>
    <t>与其他测绘工作同时进行:1.5</t>
    <phoneticPr fontId="9" type="noConversion"/>
  </si>
  <si>
    <t>技术工作费（元）</t>
    <phoneticPr fontId="9" type="noConversion"/>
  </si>
  <si>
    <t>【技术工作费附加调整系数】</t>
    <phoneticPr fontId="9" type="noConversion"/>
  </si>
  <si>
    <t>默认;1.2</t>
    <phoneticPr fontId="9" type="noConversion"/>
  </si>
  <si>
    <t>默认;1.0</t>
    <phoneticPr fontId="9" type="noConversion"/>
  </si>
  <si>
    <t>数字化测绘系数1.5、植被覆盖系数1.3</t>
    <phoneticPr fontId="9" type="noConversion"/>
  </si>
  <si>
    <t>数字化测绘系数1.5</t>
    <phoneticPr fontId="9" type="noConversion"/>
  </si>
  <si>
    <t>植被覆盖系数0.3</t>
    <phoneticPr fontId="9" type="noConversion"/>
  </si>
  <si>
    <t>泥浆护壁系数1.5</t>
    <phoneticPr fontId="9" type="noConversion"/>
  </si>
  <si>
    <t>表3.3-2、表3.3-5</t>
    <phoneticPr fontId="9" type="noConversion"/>
  </si>
  <si>
    <r>
      <rPr>
        <b/>
        <sz val="10"/>
        <color rgb="FF00B050"/>
        <rFont val="宋体"/>
        <family val="3"/>
        <charset val="134"/>
        <scheme val="minor"/>
      </rPr>
      <t>钻探基价</t>
    </r>
    <r>
      <rPr>
        <sz val="10"/>
        <rFont val="宋体"/>
        <family val="3"/>
        <charset val="134"/>
        <scheme val="minor"/>
      </rPr>
      <t>可以在</t>
    </r>
    <r>
      <rPr>
        <b/>
        <sz val="10"/>
        <color rgb="FF00B050"/>
        <rFont val="宋体"/>
        <family val="3"/>
        <charset val="134"/>
        <scheme val="minor"/>
      </rPr>
      <t>《使用手册》第42页</t>
    </r>
    <r>
      <rPr>
        <sz val="10"/>
        <rFont val="宋体"/>
        <family val="3"/>
        <charset val="134"/>
        <scheme val="minor"/>
      </rPr>
      <t>附近的钻探收费表中找到。</t>
    </r>
    <r>
      <rPr>
        <b/>
        <sz val="10"/>
        <color rgb="FF00B050"/>
        <rFont val="宋体"/>
        <family val="3"/>
        <charset val="134"/>
        <scheme val="minor"/>
      </rPr>
      <t>【表3.3-2】</t>
    </r>
    <phoneticPr fontId="9" type="noConversion"/>
  </si>
  <si>
    <t>水上作业系数:2.5</t>
    <phoneticPr fontId="9" type="noConversion"/>
  </si>
  <si>
    <t>为啥表3-地质测绘单独一个表</t>
    <phoneticPr fontId="9" type="noConversion"/>
  </si>
  <si>
    <r>
      <t>工程测量</t>
    </r>
    <r>
      <rPr>
        <b/>
        <sz val="10"/>
        <color rgb="FF00B050"/>
        <rFont val="宋体"/>
        <family val="3"/>
        <charset val="134"/>
        <scheme val="major"/>
      </rPr>
      <t>技术工作收费</t>
    </r>
    <r>
      <rPr>
        <sz val="10"/>
        <color theme="1"/>
        <rFont val="宋体"/>
        <family val="3"/>
        <charset val="134"/>
        <scheme val="major"/>
      </rPr>
      <t>比例通常为</t>
    </r>
    <r>
      <rPr>
        <b/>
        <sz val="10"/>
        <color rgb="FF00B050"/>
        <rFont val="宋体"/>
        <family val="3"/>
        <charset val="134"/>
        <scheme val="major"/>
      </rPr>
      <t>`22%`</t>
    </r>
    <r>
      <rPr>
        <sz val="10"/>
        <color theme="1"/>
        <rFont val="宋体"/>
        <family val="3"/>
        <charset val="134"/>
        <scheme val="major"/>
      </rPr>
      <t>。在《使用手册》第25页可以找到这一比例</t>
    </r>
    <phoneticPr fontId="9" type="noConversion"/>
  </si>
  <si>
    <t>默认;0.22</t>
    <phoneticPr fontId="9" type="noConversion"/>
  </si>
  <si>
    <t>线路航测</t>
    <phoneticPr fontId="9" type="noConversion"/>
  </si>
  <si>
    <t>走向图编制</t>
    <phoneticPr fontId="9" type="noConversion"/>
  </si>
  <si>
    <t>线路航测、走向图编制 不加系数</t>
    <phoneticPr fontId="9" type="noConversion"/>
  </si>
  <si>
    <t>不造标系数0.6</t>
    <phoneticPr fontId="9" type="noConversion"/>
  </si>
  <si>
    <t>【系数】数字化测绘，系数1.5</t>
    <phoneticPr fontId="9" type="noConversion"/>
  </si>
  <si>
    <r>
      <t>来自2002</t>
    </r>
    <r>
      <rPr>
        <b/>
        <sz val="10"/>
        <color rgb="FF00B050"/>
        <rFont val="宋体"/>
        <family val="3"/>
        <charset val="134"/>
        <scheme val="major"/>
      </rPr>
      <t>《使用手册》表2.2-2</t>
    </r>
    <r>
      <rPr>
        <sz val="10"/>
        <color theme="1"/>
        <rFont val="宋体"/>
        <family val="3"/>
        <charset val="134"/>
        <scheme val="major"/>
      </rPr>
      <t>，控制测量，GPS测量C级，中等复杂程度，4274元/点。</t>
    </r>
    <phoneticPr fontId="9" type="noConversion"/>
  </si>
  <si>
    <t>控制测量</t>
    <phoneticPr fontId="9" type="noConversion"/>
  </si>
  <si>
    <t>【系数】元素1为"控制测量","二、三、四等三角(边)不造标"，系数0.6</t>
    <phoneticPr fontId="9" type="noConversion"/>
  </si>
  <si>
    <t>室内外综合判调，定额核减30%</t>
    <phoneticPr fontId="9" type="noConversion"/>
  </si>
  <si>
    <r>
      <rPr>
        <sz val="10"/>
        <color rgb="FF00B050"/>
        <rFont val="宋体"/>
        <family val="3"/>
        <charset val="134"/>
        <scheme val="major"/>
      </rPr>
      <t>这些行在工作簿中没有再次叠加`22%`技术费</t>
    </r>
    <r>
      <rPr>
        <sz val="10"/>
        <color theme="1"/>
        <rFont val="宋体"/>
        <family val="3"/>
        <charset val="134"/>
        <scheme val="major"/>
      </rPr>
      <t>。</t>
    </r>
    <phoneticPr fontId="9" type="noConversion"/>
  </si>
  <si>
    <t>航线网布点时定额核减15%。
区域网布点时定额核减30%。</t>
    <phoneticPr fontId="9" type="noConversion"/>
  </si>
  <si>
    <t>像控点联测</t>
    <phoneticPr fontId="9" type="noConversion"/>
  </si>
  <si>
    <t>《财建〔2009〕17号》P14-像控点联测</t>
    <phoneticPr fontId="9" type="noConversion"/>
  </si>
  <si>
    <t>地物、地貌调绘</t>
    <phoneticPr fontId="9" type="noConversion"/>
  </si>
  <si>
    <t>《财建〔2009〕17号》P15-地物、地貌调绘</t>
    <phoneticPr fontId="9" type="noConversion"/>
  </si>
  <si>
    <t>《财建〔2009〕17号》测绘生产成本定额。P19</t>
    <phoneticPr fontId="9" type="noConversion"/>
  </si>
  <si>
    <t>表2.2-3</t>
    <phoneticPr fontId="9" type="noConversion"/>
  </si>
  <si>
    <t>系数0.7综合判调,不宜直接扩大适用</t>
    <phoneticPr fontId="9" type="noConversion"/>
  </si>
  <si>
    <t>系数1.2综合判调,不宜直接扩大适用</t>
    <phoneticPr fontId="9" type="noConversion"/>
  </si>
  <si>
    <t>2002表2.2-2</t>
    <phoneticPr fontId="9" type="noConversion"/>
  </si>
  <si>
    <t>数字化测绘系数1.5、植被覆盖系数1.3</t>
    <phoneticPr fontId="9" type="noConversion"/>
  </si>
  <si>
    <t>【系数】植被覆盖，系数1.3
（其实套用的是“覆盖或隐蔽程度&gt;60%，1.2-1.5”）</t>
    <phoneticPr fontId="9" type="noConversion"/>
  </si>
  <si>
    <t>技术工作费调整系数</t>
    <phoneticPr fontId="9" type="noConversion"/>
  </si>
  <si>
    <t>【DWB批注】价格or总体</t>
    <phoneticPr fontId="9" type="noConversion"/>
  </si>
  <si>
    <t>技术工作费调整系数</t>
    <phoneticPr fontId="9" type="noConversion"/>
  </si>
  <si>
    <r>
      <t>【经验数】</t>
    </r>
    <r>
      <rPr>
        <b/>
        <sz val="10"/>
        <color rgb="FFC00000"/>
        <rFont val="宋体"/>
        <family val="3"/>
        <charset val="134"/>
        <scheme val="major"/>
      </rPr>
      <t>单价</t>
    </r>
    <phoneticPr fontId="9" type="noConversion"/>
  </si>
  <si>
    <r>
      <t>【经验数】</t>
    </r>
    <r>
      <rPr>
        <b/>
        <sz val="10"/>
        <color rgb="FFC00000"/>
        <rFont val="宋体"/>
        <family val="3"/>
        <charset val="134"/>
        <scheme val="major"/>
      </rPr>
      <t>实物工作费调整系数</t>
    </r>
    <phoneticPr fontId="9" type="noConversion"/>
  </si>
  <si>
    <r>
      <t>【经验数】</t>
    </r>
    <r>
      <rPr>
        <b/>
        <sz val="10"/>
        <color rgb="FFC00000"/>
        <rFont val="宋体"/>
        <family val="3"/>
        <charset val="134"/>
        <scheme val="major"/>
      </rPr>
      <t>技术工作费调整系数</t>
    </r>
    <phoneticPr fontId="9" type="noConversion"/>
  </si>
  <si>
    <t>(不要被管勘智算脚本识别)</t>
    <phoneticPr fontId="9" type="noConversion"/>
  </si>
  <si>
    <t>实物工作费（元）</t>
    <phoneticPr fontId="9" type="noConversion"/>
  </si>
  <si>
    <t>实物工作费调整系数</t>
    <phoneticPr fontId="9" type="noConversion"/>
  </si>
  <si>
    <t>【DWB批注】-技术工作费调整系数</t>
    <phoneticPr fontId="9" type="noConversion"/>
  </si>
  <si>
    <t>【DWB批注】-实物工作费调整系数</t>
    <phoneticPr fontId="9" type="noConversion"/>
  </si>
  <si>
    <t>类别</t>
    <phoneticPr fontId="9" type="noConversion"/>
  </si>
  <si>
    <t>要素-技术</t>
    <phoneticPr fontId="9" type="noConversion"/>
  </si>
  <si>
    <t>勘探点测放</t>
    <phoneticPr fontId="9" type="noConversion"/>
  </si>
  <si>
    <t>此列规则明确，不需要经验数</t>
  </si>
  <si>
    <t>注意：没有直接写“三角（边）一级不造标0.6”，应作为样表经验规则</t>
    <phoneticPr fontId="9" type="noConversion"/>
  </si>
  <si>
    <t>《财建〔2009〕17号》测绘生产成本定额。
行业市场价3500-5500</t>
    <phoneticPr fontId="9" type="noConversion"/>
  </si>
  <si>
    <t>此列规则明确，不需要经验数</t>
    <phoneticPr fontId="9" type="noConversion"/>
  </si>
  <si>
    <t>实物111工作费调整系数-测试</t>
    <phoneticPr fontId="9" type="noConversion"/>
  </si>
  <si>
    <t>技术111工作费调整系数-测试</t>
    <phoneticPr fontId="9" type="noConversion"/>
  </si>
  <si>
    <t>单价111匹配-测试</t>
    <phoneticPr fontId="9" type="noConversion"/>
  </si>
  <si>
    <r>
      <t>匹配说明-</t>
    </r>
    <r>
      <rPr>
        <b/>
        <sz val="10"/>
        <color rgb="FFC00000"/>
        <rFont val="宋体"/>
        <family val="3"/>
        <charset val="134"/>
        <scheme val="minor"/>
      </rPr>
      <t>实物</t>
    </r>
    <r>
      <rPr>
        <b/>
        <sz val="10"/>
        <color theme="1"/>
        <rFont val="宋体"/>
        <family val="3"/>
        <charset val="134"/>
        <scheme val="minor"/>
      </rPr>
      <t>工作费调整系数</t>
    </r>
    <phoneticPr fontId="9" type="noConversion"/>
  </si>
  <si>
    <r>
      <t>匹配说明-</t>
    </r>
    <r>
      <rPr>
        <b/>
        <sz val="10"/>
        <color rgb="FFC00000"/>
        <rFont val="宋体"/>
        <family val="3"/>
        <charset val="134"/>
        <scheme val="minor"/>
      </rPr>
      <t>技术</t>
    </r>
    <r>
      <rPr>
        <b/>
        <sz val="10"/>
        <color theme="1"/>
        <rFont val="宋体"/>
        <family val="3"/>
        <charset val="134"/>
        <scheme val="minor"/>
      </rPr>
      <t>工作费调整系数</t>
    </r>
    <phoneticPr fontId="9" type="noConversion"/>
  </si>
  <si>
    <t>【第一层】【系数】要素1：岩土工程勘察。
系数："甲级","1.2";"乙级","1.0";"丙级","0.8"}</t>
    <phoneticPr fontId="9" type="noConversion"/>
  </si>
  <si>
    <t>【第一层】【系数】要素1：勘探点测放。
系数：经验数为0</t>
    <phoneticPr fontId="9" type="noConversion"/>
  </si>
  <si>
    <t>【第一层】【系数】要素1：岩土工程勘察。
系数："甲级","1.2";"乙级","1.0";"丙级","0.8"</t>
    <phoneticPr fontId="9" type="noConversion"/>
  </si>
  <si>
    <t>【第一层】【系数】元素1为“线路航测”，系数0</t>
    <phoneticPr fontId="9" type="noConversion"/>
  </si>
  <si>
    <t>【第一层】【系数】元素1为“走向图编制”，系数0</t>
    <phoneticPr fontId="9" type="noConversion"/>
  </si>
  <si>
    <t>【第一层】【系数】【默认】除了特殊说明的，所有行默认系数0.22</t>
    <phoneticPr fontId="9" type="noConversion"/>
  </si>
  <si>
    <t>【】【问题】怎么判断数字化或者植被覆盖？</t>
    <phoneticPr fontId="9" type="noConversion"/>
  </si>
  <si>
    <t>委托方信息抓取</t>
    <phoneticPr fontId="9" type="noConversion"/>
  </si>
  <si>
    <t>数量(信息抓取)</t>
    <phoneticPr fontId="9" type="noConversion"/>
  </si>
  <si>
    <t>实物工作费调整系数(信息抓取)</t>
    <phoneticPr fontId="9" type="noConversion"/>
  </si>
  <si>
    <t>委托方备注(信息抓取)</t>
    <phoneticPr fontId="9" type="noConversion"/>
  </si>
  <si>
    <t>抓取日志</t>
    <phoneticPr fontId="9" type="noConversion"/>
  </si>
  <si>
    <t>预警信息</t>
    <phoneticPr fontId="9" type="noConversion"/>
  </si>
  <si>
    <t>预警细节</t>
    <phoneticPr fontId="9" type="noConversion"/>
  </si>
  <si>
    <t>预警参数</t>
    <phoneticPr fontId="9" type="noConversion"/>
  </si>
  <si>
    <t>数量</t>
    <phoneticPr fontId="9" type="noConversion"/>
  </si>
  <si>
    <t>数量</t>
    <phoneticPr fontId="9" type="noConversion"/>
  </si>
  <si>
    <t>首级控制测量</t>
    <phoneticPr fontId="9" type="noConversion"/>
  </si>
  <si>
    <t>1:1000</t>
    <phoneticPr fontId="9" type="noConversion"/>
  </si>
  <si>
    <t>空</t>
    <phoneticPr fontId="9" type="noConversion"/>
  </si>
  <si>
    <t>合计</t>
    <phoneticPr fontId="9" type="noConversion"/>
  </si>
  <si>
    <t>合计</t>
    <phoneticPr fontId="9" type="noConversion"/>
  </si>
  <si>
    <t>合计</t>
    <phoneticPr fontId="9" type="noConversion"/>
  </si>
  <si>
    <t>基价（元）</t>
    <phoneticPr fontId="9" type="noConversion"/>
  </si>
  <si>
    <t>(空)</t>
    <phoneticPr fontId="9" type="noConversion"/>
  </si>
  <si>
    <t>河流大中型穿越（陆地）</t>
    <phoneticPr fontId="9" type="noConversion"/>
  </si>
  <si>
    <t>河流大中型穿越（水域）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</si>
</sst>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_ "/>
    <numFmt numFmtId="177" formatCode="0.00_);\(0.00\)"/>
    <numFmt numFmtId="178" formatCode="0.00_ "/>
    <numFmt numFmtId="179" formatCode="0.00_);[Red]\(0.00\)"/>
    <numFmt numFmtId="180" formatCode="0.0_);\(0.0\)"/>
    <numFmt numFmtId="181" formatCode="0_);[Red]\(0\)"/>
    <numFmt numFmtId="182" formatCode="0.0_ "/>
    <numFmt numFmtId="183" formatCode="0.0000_ "/>
  </numFmts>
  <fonts count="34" x14ac:knownFonts="1">
    <font>
      <sz val="11"/>
      <color theme="1"/>
      <name val="宋体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4"/>
      <name val="仿宋_GB2312"/>
      <family val="3"/>
      <charset val="134"/>
    </font>
    <font>
      <b/>
      <sz val="1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  <scheme val="minor"/>
    </font>
    <font>
      <b/>
      <sz val="14"/>
      <name val="Times New Roman"/>
      <family val="1"/>
    </font>
    <font>
      <sz val="9"/>
      <name val="宋体"/>
      <family val="3"/>
      <charset val="134"/>
      <scheme val="minor"/>
    </font>
    <font>
      <sz val="10"/>
      <name val="仿宋_GB2312"/>
      <family val="3"/>
      <charset val="134"/>
    </font>
    <font>
      <sz val="10"/>
      <color rgb="FFFF0000"/>
      <name val="宋体"/>
      <family val="3"/>
      <charset val="134"/>
      <scheme val="minor"/>
    </font>
    <font>
      <vertAlign val="superscript"/>
      <sz val="1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4"/>
      <name val="宋体"/>
      <family val="3"/>
      <charset val="134"/>
      <scheme val="major"/>
    </font>
    <font>
      <sz val="11"/>
      <color theme="1"/>
      <name val="宋体"/>
      <family val="3"/>
      <charset val="134"/>
      <scheme val="major"/>
    </font>
    <font>
      <b/>
      <sz val="10"/>
      <name val="宋体"/>
      <family val="3"/>
      <charset val="134"/>
      <scheme val="major"/>
    </font>
    <font>
      <b/>
      <sz val="11"/>
      <color theme="1"/>
      <name val="宋体"/>
      <family val="3"/>
      <charset val="134"/>
      <scheme val="major"/>
    </font>
    <font>
      <sz val="10"/>
      <name val="宋体"/>
      <family val="3"/>
      <charset val="134"/>
      <scheme val="major"/>
    </font>
    <font>
      <sz val="10"/>
      <color theme="1"/>
      <name val="宋体"/>
      <family val="3"/>
      <charset val="134"/>
      <scheme val="major"/>
    </font>
    <font>
      <vertAlign val="superscript"/>
      <sz val="10"/>
      <name val="宋体"/>
      <family val="3"/>
      <charset val="134"/>
      <scheme val="major"/>
    </font>
    <font>
      <b/>
      <sz val="10"/>
      <color theme="1"/>
      <name val="宋体"/>
      <family val="3"/>
      <charset val="134"/>
      <scheme val="major"/>
    </font>
    <font>
      <sz val="11"/>
      <name val="宋体"/>
      <family val="3"/>
      <charset val="134"/>
      <scheme val="major"/>
    </font>
    <font>
      <b/>
      <sz val="9"/>
      <color theme="1"/>
      <name val="宋体"/>
      <family val="3"/>
      <charset val="134"/>
      <scheme val="minor"/>
    </font>
    <font>
      <b/>
      <sz val="10"/>
      <color rgb="FF00B050"/>
      <name val="宋体"/>
      <family val="3"/>
      <charset val="134"/>
      <scheme val="major"/>
    </font>
    <font>
      <sz val="10"/>
      <color rgb="FF00B050"/>
      <name val="宋体"/>
      <family val="3"/>
      <charset val="134"/>
      <scheme val="major"/>
    </font>
    <font>
      <sz val="11"/>
      <color theme="1"/>
      <name val="宋体"/>
      <family val="3"/>
      <charset val="134"/>
      <scheme val="minor"/>
    </font>
    <font>
      <b/>
      <sz val="10"/>
      <color rgb="FF00B050"/>
      <name val="宋体"/>
      <family val="3"/>
      <charset val="134"/>
      <scheme val="minor"/>
    </font>
    <font>
      <b/>
      <sz val="10"/>
      <color rgb="FFC00000"/>
      <name val="宋体"/>
      <family val="3"/>
      <charset val="134"/>
      <scheme val="major"/>
    </font>
    <font>
      <b/>
      <sz val="10"/>
      <color theme="4" tint="0.39997558519241921"/>
      <name val="宋体"/>
      <family val="3"/>
      <charset val="134"/>
      <scheme val="major"/>
    </font>
    <font>
      <b/>
      <sz val="10"/>
      <color rgb="FFC00000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</borders>
  <cellStyleXfs count="1">
    <xf numFmtId="0" fontId="0" fillId="0" borderId="0">
      <alignment vertical="center"/>
    </xf>
  </cellStyleXfs>
  <cellXfs count="25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8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79" fontId="4" fillId="0" borderId="1" xfId="0" applyNumberFormat="1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79" fontId="4" fillId="2" borderId="5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80" fontId="4" fillId="0" borderId="5" xfId="0" applyNumberFormat="1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right" vertical="center" wrapText="1"/>
    </xf>
    <xf numFmtId="178" fontId="4" fillId="0" borderId="5" xfId="0" applyNumberFormat="1" applyFont="1" applyBorder="1" applyAlignment="1">
      <alignment horizontal="center" vertical="center" wrapText="1"/>
    </xf>
    <xf numFmtId="176" fontId="7" fillId="0" borderId="5" xfId="0" applyNumberFormat="1" applyFont="1" applyBorder="1" applyAlignment="1">
      <alignment horizontal="right" vertical="center"/>
    </xf>
    <xf numFmtId="178" fontId="7" fillId="0" borderId="5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78" fontId="4" fillId="0" borderId="5" xfId="0" applyNumberFormat="1" applyFont="1" applyBorder="1" applyAlignment="1">
      <alignment horizontal="right" vertical="center" wrapText="1"/>
    </xf>
    <xf numFmtId="181" fontId="4" fillId="0" borderId="1" xfId="0" applyNumberFormat="1" applyFont="1" applyBorder="1" applyAlignment="1">
      <alignment horizontal="right" vertical="center" wrapText="1"/>
    </xf>
    <xf numFmtId="0" fontId="7" fillId="0" borderId="5" xfId="0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82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right" vertical="center" wrapText="1"/>
    </xf>
    <xf numFmtId="0" fontId="8" fillId="0" borderId="0" xfId="0" applyFont="1" applyAlignment="1">
      <alignment horizontal="center"/>
    </xf>
    <xf numFmtId="179" fontId="9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182" fontId="3" fillId="0" borderId="1" xfId="0" applyNumberFormat="1" applyFont="1" applyBorder="1" applyAlignment="1">
      <alignment horizontal="center" vertical="center" wrapText="1"/>
    </xf>
    <xf numFmtId="178" fontId="7" fillId="0" borderId="1" xfId="0" applyNumberFormat="1" applyFont="1" applyBorder="1" applyAlignment="1">
      <alignment horizontal="center" vertical="center"/>
    </xf>
    <xf numFmtId="182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right" vertical="center"/>
    </xf>
    <xf numFmtId="0" fontId="10" fillId="0" borderId="0" xfId="0" applyFont="1" applyAlignment="1">
      <alignment horizontal="left"/>
    </xf>
    <xf numFmtId="178" fontId="4" fillId="0" borderId="1" xfId="0" applyNumberFormat="1" applyFont="1" applyBorder="1" applyAlignment="1">
      <alignment vertical="center" wrapText="1"/>
    </xf>
    <xf numFmtId="183" fontId="4" fillId="0" borderId="1" xfId="0" applyNumberFormat="1" applyFont="1" applyBorder="1" applyAlignment="1">
      <alignment vertical="center" wrapText="1"/>
    </xf>
    <xf numFmtId="178" fontId="7" fillId="0" borderId="1" xfId="0" applyNumberFormat="1" applyFont="1" applyBorder="1">
      <alignment vertical="center"/>
    </xf>
    <xf numFmtId="0" fontId="7" fillId="0" borderId="1" xfId="0" applyFont="1" applyBorder="1" applyAlignment="1">
      <alignment horizontal="left" vertical="center"/>
    </xf>
    <xf numFmtId="9" fontId="7" fillId="0" borderId="1" xfId="0" applyNumberFormat="1" applyFont="1" applyBorder="1">
      <alignment vertical="center"/>
    </xf>
    <xf numFmtId="183" fontId="7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 wrapText="1"/>
    </xf>
    <xf numFmtId="176" fontId="0" fillId="0" borderId="0" xfId="0" applyNumberFormat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79" fontId="19" fillId="0" borderId="1" xfId="0" applyNumberFormat="1" applyFont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49" fontId="19" fillId="6" borderId="1" xfId="0" applyNumberFormat="1" applyFont="1" applyFill="1" applyBorder="1" applyAlignment="1">
      <alignment horizontal="center" vertical="center" wrapText="1"/>
    </xf>
    <xf numFmtId="179" fontId="19" fillId="6" borderId="1" xfId="0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181" fontId="21" fillId="0" borderId="1" xfId="0" applyNumberFormat="1" applyFont="1" applyBorder="1" applyAlignment="1">
      <alignment horizontal="center" vertical="center" wrapText="1"/>
    </xf>
    <xf numFmtId="181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78" fontId="21" fillId="0" borderId="1" xfId="0" applyNumberFormat="1" applyFont="1" applyBorder="1" applyAlignment="1">
      <alignment horizontal="center" vertical="center" wrapText="1"/>
    </xf>
    <xf numFmtId="49" fontId="18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79" fontId="18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49" fontId="22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79" fontId="22" fillId="0" borderId="0" xfId="0" applyNumberFormat="1" applyFont="1" applyAlignment="1">
      <alignment horizontal="center" vertical="center"/>
    </xf>
    <xf numFmtId="0" fontId="13" fillId="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76" fontId="7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1" xfId="0" applyFont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177" fontId="30" fillId="0" borderId="13" xfId="0" applyNumberFormat="1" applyFont="1" applyBorder="1" applyAlignment="1">
      <alignment horizontal="left" vertical="center"/>
    </xf>
    <xf numFmtId="0" fontId="27" fillId="4" borderId="14" xfId="0" applyFont="1" applyFill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177" fontId="30" fillId="0" borderId="14" xfId="0" applyNumberFormat="1" applyFont="1" applyBorder="1" applyAlignment="1">
      <alignment horizontal="left" vertical="center" wrapText="1"/>
    </xf>
    <xf numFmtId="0" fontId="29" fillId="0" borderId="14" xfId="0" applyFont="1" applyBorder="1" applyAlignment="1">
      <alignment horizontal="left" vertical="center" wrapText="1"/>
    </xf>
    <xf numFmtId="0" fontId="22" fillId="0" borderId="8" xfId="0" applyFont="1" applyBorder="1" applyAlignment="1">
      <alignment vertical="center" wrapText="1"/>
    </xf>
    <xf numFmtId="0" fontId="21" fillId="0" borderId="14" xfId="0" applyFont="1" applyBorder="1" applyAlignment="1">
      <alignment horizontal="center" vertical="center" wrapText="1"/>
    </xf>
    <xf numFmtId="179" fontId="21" fillId="0" borderId="14" xfId="0" applyNumberFormat="1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/>
    </xf>
    <xf numFmtId="179" fontId="4" fillId="0" borderId="14" xfId="0" applyNumberFormat="1" applyFont="1" applyBorder="1" applyAlignment="1">
      <alignment horizontal="center" vertical="center" wrapText="1"/>
    </xf>
    <xf numFmtId="179" fontId="27" fillId="0" borderId="14" xfId="0" applyNumberFormat="1" applyFont="1" applyBorder="1" applyAlignment="1">
      <alignment horizontal="center" vertical="center" wrapText="1"/>
    </xf>
    <xf numFmtId="0" fontId="31" fillId="0" borderId="0" xfId="0" applyFont="1" applyAlignment="1">
      <alignment horizontal="left" vertical="center" wrapText="1"/>
    </xf>
    <xf numFmtId="0" fontId="19" fillId="6" borderId="2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left" vertical="center" wrapText="1"/>
    </xf>
    <xf numFmtId="0" fontId="32" fillId="6" borderId="14" xfId="0" applyFont="1" applyFill="1" applyBorder="1" applyAlignment="1">
      <alignment horizontal="center" vertical="center" wrapText="1"/>
    </xf>
    <xf numFmtId="0" fontId="19" fillId="6" borderId="14" xfId="0" applyFont="1" applyFill="1" applyBorder="1" applyAlignment="1">
      <alignment horizontal="center" vertical="center" wrapText="1"/>
    </xf>
    <xf numFmtId="0" fontId="13" fillId="6" borderId="14" xfId="0" applyFont="1" applyFill="1" applyBorder="1" applyAlignment="1">
      <alignment horizontal="center" vertical="center" wrapText="1"/>
    </xf>
    <xf numFmtId="0" fontId="13" fillId="8" borderId="14" xfId="0" applyFont="1" applyFill="1" applyBorder="1" applyAlignment="1">
      <alignment horizontal="center" vertical="center" wrapText="1"/>
    </xf>
    <xf numFmtId="176" fontId="7" fillId="0" borderId="14" xfId="0" applyNumberFormat="1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6" fillId="6" borderId="14" xfId="0" applyFont="1" applyFill="1" applyBorder="1" applyAlignment="1">
      <alignment horizontal="center" vertical="center" wrapText="1"/>
    </xf>
    <xf numFmtId="179" fontId="30" fillId="0" borderId="14" xfId="0" applyNumberFormat="1" applyFont="1" applyBorder="1" applyAlignment="1">
      <alignment horizontal="left" vertical="center" wrapText="1"/>
    </xf>
    <xf numFmtId="179" fontId="4" fillId="0" borderId="14" xfId="0" applyNumberFormat="1" applyFont="1" applyBorder="1" applyAlignment="1">
      <alignment horizontal="left" vertical="center" wrapText="1"/>
    </xf>
    <xf numFmtId="0" fontId="22" fillId="0" borderId="14" xfId="0" applyFont="1" applyBorder="1" applyAlignment="1">
      <alignment horizontal="center" vertical="center" wrapText="1"/>
    </xf>
    <xf numFmtId="0" fontId="24" fillId="6" borderId="14" xfId="0" applyFont="1" applyFill="1" applyBorder="1" applyAlignment="1">
      <alignment horizontal="center" vertical="center" wrapText="1"/>
    </xf>
    <xf numFmtId="179" fontId="21" fillId="0" borderId="1" xfId="0" applyNumberFormat="1" applyFont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24" fillId="9" borderId="14" xfId="0" applyFont="1" applyFill="1" applyBorder="1" applyAlignment="1">
      <alignment horizontal="center" vertical="center" wrapText="1"/>
    </xf>
    <xf numFmtId="0" fontId="24" fillId="10" borderId="14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4" fillId="10" borderId="14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 wrapText="1"/>
    </xf>
    <xf numFmtId="179" fontId="4" fillId="0" borderId="1" xfId="0" applyNumberFormat="1" applyFont="1" applyBorder="1" applyAlignment="1">
      <alignment horizontal="right" vertical="center" wrapText="1"/>
    </xf>
    <xf numFmtId="176" fontId="4" fillId="0" borderId="1" xfId="0" applyNumberFormat="1" applyFont="1" applyBorder="1" applyAlignment="1">
      <alignment horizontal="right" vertical="center" wrapText="1"/>
    </xf>
    <xf numFmtId="176" fontId="7" fillId="0" borderId="0" xfId="0" applyNumberFormat="1" applyFont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8" fontId="7" fillId="0" borderId="0" xfId="0" applyNumberFormat="1" applyFont="1" applyAlignment="1">
      <alignment horizontal="right" vertical="center"/>
    </xf>
    <xf numFmtId="178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9" fillId="4" borderId="1" xfId="0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77" fontId="3" fillId="4" borderId="1" xfId="0" applyNumberFormat="1" applyFont="1" applyFill="1" applyBorder="1" applyAlignment="1">
      <alignment horizontal="center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0" fontId="17" fillId="0" borderId="10" xfId="0" applyFont="1" applyBorder="1">
      <alignment vertical="center"/>
    </xf>
    <xf numFmtId="0" fontId="17" fillId="0" borderId="0" xfId="0" applyFont="1">
      <alignment vertical="center"/>
    </xf>
    <xf numFmtId="181" fontId="24" fillId="0" borderId="5" xfId="0" applyNumberFormat="1" applyFont="1" applyBorder="1" applyAlignment="1">
      <alignment horizontal="center" vertical="center"/>
    </xf>
    <xf numFmtId="179" fontId="24" fillId="0" borderId="5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vertical="center" wrapText="1"/>
    </xf>
    <xf numFmtId="0" fontId="24" fillId="0" borderId="8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4" xfId="0" applyFont="1" applyBorder="1" applyAlignment="1">
      <alignment horizontal="left" vertical="center" wrapText="1"/>
    </xf>
    <xf numFmtId="179" fontId="24" fillId="0" borderId="14" xfId="0" applyNumberFormat="1" applyFont="1" applyBorder="1" applyAlignment="1">
      <alignment horizontal="center" vertical="center"/>
    </xf>
    <xf numFmtId="176" fontId="13" fillId="0" borderId="14" xfId="0" applyNumberFormat="1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176" fontId="13" fillId="0" borderId="5" xfId="0" applyNumberFormat="1" applyFont="1" applyBorder="1" applyAlignment="1">
      <alignment horizontal="right" vertical="center"/>
    </xf>
    <xf numFmtId="0" fontId="13" fillId="0" borderId="5" xfId="0" applyFont="1" applyBorder="1" applyAlignment="1">
      <alignment horizontal="center" vertical="center"/>
    </xf>
    <xf numFmtId="178" fontId="13" fillId="0" borderId="5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 wrapText="1"/>
    </xf>
    <xf numFmtId="179" fontId="19" fillId="0" borderId="14" xfId="0" applyNumberFormat="1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176" fontId="13" fillId="0" borderId="9" xfId="0" applyNumberFormat="1" applyFont="1" applyBorder="1">
      <alignment vertical="center"/>
    </xf>
    <xf numFmtId="176" fontId="13" fillId="0" borderId="7" xfId="0" applyNumberFormat="1" applyFont="1" applyBorder="1">
      <alignment vertical="center"/>
    </xf>
    <xf numFmtId="0" fontId="20" fillId="0" borderId="0" xfId="0" applyFont="1" applyAlignment="1">
      <alignment vertical="center" wrapText="1"/>
    </xf>
    <xf numFmtId="176" fontId="24" fillId="0" borderId="14" xfId="0" applyNumberFormat="1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2" fillId="0" borderId="12" xfId="0" applyFont="1" applyBorder="1" applyAlignment="1">
      <alignment horizontal="center"/>
    </xf>
    <xf numFmtId="49" fontId="8" fillId="0" borderId="5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82" fontId="8" fillId="0" borderId="5" xfId="0" applyNumberFormat="1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82" fontId="3" fillId="0" borderId="1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179" fontId="19" fillId="0" borderId="1" xfId="0" applyNumberFormat="1" applyFont="1" applyBorder="1" applyAlignment="1">
      <alignment horizontal="center" vertical="center" wrapText="1"/>
    </xf>
    <xf numFmtId="179" fontId="19" fillId="0" borderId="1" xfId="0" applyNumberFormat="1" applyFont="1" applyBorder="1" applyAlignment="1">
      <alignment vertical="center" wrapText="1"/>
    </xf>
    <xf numFmtId="0" fontId="2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49" fontId="8" fillId="0" borderId="3" xfId="0" applyNumberFormat="1" applyFont="1" applyBorder="1" applyAlignment="1">
      <alignment horizontal="center"/>
    </xf>
    <xf numFmtId="176" fontId="8" fillId="0" borderId="3" xfId="0" applyNumberFormat="1" applyFont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177" fontId="8" fillId="0" borderId="3" xfId="0" applyNumberFormat="1" applyFont="1" applyBorder="1" applyAlignment="1">
      <alignment horizontal="center"/>
    </xf>
    <xf numFmtId="178" fontId="8" fillId="0" borderId="3" xfId="0" applyNumberFormat="1" applyFont="1" applyBorder="1" applyAlignment="1">
      <alignment horizontal="right"/>
    </xf>
    <xf numFmtId="178" fontId="8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right"/>
    </xf>
    <xf numFmtId="0" fontId="8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right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13" fillId="0" borderId="1" xfId="0" applyFont="1" applyBorder="1" applyAlignment="1">
      <alignment horizontal="center" vertical="center" wrapText="1"/>
    </xf>
    <xf numFmtId="176" fontId="13" fillId="0" borderId="2" xfId="0" applyNumberFormat="1" applyFont="1" applyBorder="1" applyAlignment="1">
      <alignment horizontal="center" vertical="center"/>
    </xf>
    <xf numFmtId="176" fontId="13" fillId="0" borderId="9" xfId="0" applyNumberFormat="1" applyFont="1" applyBorder="1" applyAlignment="1">
      <alignment horizontal="center" vertical="center"/>
    </xf>
    <xf numFmtId="176" fontId="13" fillId="0" borderId="7" xfId="0" applyNumberFormat="1" applyFont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49" fontId="8" fillId="4" borderId="3" xfId="0" applyNumberFormat="1" applyFont="1" applyFill="1" applyBorder="1" applyAlignment="1">
      <alignment horizontal="center" vertical="center"/>
    </xf>
    <xf numFmtId="176" fontId="8" fillId="3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77" fontId="8" fillId="5" borderId="3" xfId="0" applyNumberFormat="1" applyFont="1" applyFill="1" applyBorder="1" applyAlignment="1">
      <alignment horizontal="center" vertical="center"/>
    </xf>
    <xf numFmtId="178" fontId="8" fillId="0" borderId="3" xfId="0" applyNumberFormat="1" applyFont="1" applyBorder="1" applyAlignment="1">
      <alignment horizontal="right" vertical="center"/>
    </xf>
    <xf numFmtId="178" fontId="8" fillId="5" borderId="3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right" vertical="center"/>
    </xf>
    <xf numFmtId="0" fontId="8" fillId="2" borderId="8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萌 石" id="{2FD18CED-DEED-4D6E-B7D4-0ECCE45E3880}" userId="2aba639a1dd44068" providerId="Windows Live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" dT="2026-03-02T12:05:32.30" personId="{2FD18CED-DEED-4D6E-B7D4-0ECCE45E3880}" id="{CE01A1B9-1B20-4AAD-8085-9602F73D1194}">
    <text xml:space="preserve">“动手干活”的钱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4"/>
  <sheetViews>
    <sheetView tabSelected="1" workbookViewId="0">
      <selection sqref="A1:D1"/>
    </sheetView>
  </sheetViews>
  <sheetFormatPr defaultColWidth="8.625" defaultRowHeight="13.5" x14ac:dyDescent="0.15"/>
  <cols>
    <col min="1" max="1" width="6.875" customWidth="1"/>
    <col min="2" max="2" width="37.375" customWidth="1"/>
    <col min="3" max="3" width="13.75" customWidth="1"/>
    <col min="4" max="4" width="29.125" customWidth="1"/>
    <col min="5" max="5" width="6.5" customWidth="1"/>
    <col min="6" max="6" width="9.75" customWidth="1"/>
    <col min="7" max="7" width="12.625" customWidth="1"/>
    <col min="8" max="8" width="9.875" customWidth="1"/>
  </cols>
  <sheetData>
    <row r="1" spans="1:7" ht="43.15" customHeight="1" x14ac:dyDescent="0.15">
      <c r="A1" s="198" t="s">
        <v>144</v>
      </c>
      <c r="B1" s="198"/>
      <c r="C1" s="199"/>
      <c r="D1" s="200"/>
    </row>
    <row r="2" spans="1:7" ht="16.899999999999999" customHeight="1" x14ac:dyDescent="0.3">
      <c r="A2" s="54" t="s">
        <v>0</v>
      </c>
      <c r="B2" s="10"/>
      <c r="C2" s="44"/>
      <c r="D2" s="44"/>
    </row>
    <row r="3" spans="1:7" ht="25.9" customHeight="1" x14ac:dyDescent="0.15">
      <c r="A3" s="11" t="s">
        <v>1</v>
      </c>
      <c r="B3" s="11" t="s">
        <v>2</v>
      </c>
      <c r="C3" s="11" t="s">
        <v>3</v>
      </c>
      <c r="D3" s="11" t="s">
        <v>4</v>
      </c>
    </row>
    <row r="4" spans="1:7" x14ac:dyDescent="0.15">
      <c r="A4" s="14">
        <v>1</v>
      </c>
      <c r="B4" s="39" t="s">
        <v>5</v>
      </c>
      <c r="C4" s="55">
        <f>'表1-长输管道工程勘测费用'!I9/10000</f>
        <v>0</v>
      </c>
      <c r="D4" s="39" t="s">
        <v>6</v>
      </c>
    </row>
    <row r="5" spans="1:7" x14ac:dyDescent="0.15">
      <c r="A5" s="14">
        <v>2</v>
      </c>
      <c r="B5" s="39" t="s">
        <v>7</v>
      </c>
      <c r="C5" s="56">
        <f>'表2-通用工程测量费用'!N29/10000</f>
        <v>0</v>
      </c>
      <c r="D5" s="39" t="s">
        <v>8</v>
      </c>
    </row>
    <row r="6" spans="1:7" x14ac:dyDescent="0.15">
      <c r="A6" s="14">
        <v>3</v>
      </c>
      <c r="B6" s="39" t="s">
        <v>9</v>
      </c>
      <c r="C6" s="55">
        <f>'表3-地质测绘'!R9/10000</f>
        <v>0</v>
      </c>
      <c r="D6" s="39" t="s">
        <v>10</v>
      </c>
    </row>
    <row r="7" spans="1:7" x14ac:dyDescent="0.15">
      <c r="A7" s="14">
        <v>4</v>
      </c>
      <c r="B7" s="39" t="s">
        <v>11</v>
      </c>
      <c r="C7" s="55">
        <f>'表4-通用工程勘察费用'!R8/10000</f>
        <v>0</v>
      </c>
      <c r="D7" s="39" t="s">
        <v>12</v>
      </c>
    </row>
    <row r="8" spans="1:7" x14ac:dyDescent="0.15">
      <c r="A8" s="197" t="s">
        <v>13</v>
      </c>
      <c r="B8" s="197"/>
      <c r="C8" s="57">
        <f>SUM(C4:C7)</f>
        <v>0</v>
      </c>
      <c r="D8" s="58"/>
    </row>
    <row r="9" spans="1:7" x14ac:dyDescent="0.15">
      <c r="A9" s="197"/>
      <c r="B9" s="197"/>
      <c r="C9" s="59">
        <v>0.9</v>
      </c>
      <c r="D9" s="58" t="s">
        <v>14</v>
      </c>
    </row>
    <row r="10" spans="1:7" x14ac:dyDescent="0.15">
      <c r="A10" s="14">
        <v>5</v>
      </c>
      <c r="B10" s="39" t="s">
        <v>15</v>
      </c>
      <c r="C10" s="56">
        <f>C9*C8</f>
        <v>0</v>
      </c>
      <c r="D10" s="39"/>
    </row>
    <row r="11" spans="1:7" x14ac:dyDescent="0.15">
      <c r="A11" s="14">
        <v>6</v>
      </c>
      <c r="B11" s="39" t="s">
        <v>16</v>
      </c>
      <c r="C11" s="55">
        <f>'表5-其他费用'!R17/10000</f>
        <v>39.356000000000002</v>
      </c>
      <c r="D11" s="39" t="s">
        <v>17</v>
      </c>
      <c r="F11" s="1"/>
      <c r="G11" s="1"/>
    </row>
    <row r="12" spans="1:7" x14ac:dyDescent="0.15">
      <c r="A12" s="197" t="s">
        <v>18</v>
      </c>
      <c r="B12" s="197"/>
      <c r="C12" s="60">
        <f>ROUND(C10+C11,4)</f>
        <v>39.356000000000002</v>
      </c>
      <c r="D12" s="61"/>
      <c r="F12" s="62"/>
      <c r="G12" s="62"/>
    </row>
    <row r="13" spans="1:7" x14ac:dyDescent="0.15">
      <c r="A13" s="197" t="s">
        <v>19</v>
      </c>
      <c r="B13" s="197"/>
      <c r="C13" s="60">
        <f>ROUND(C12/1.06,4)</f>
        <v>37.128300000000003</v>
      </c>
      <c r="D13" s="61"/>
      <c r="F13" s="62"/>
      <c r="G13" s="62"/>
    </row>
    <row r="14" spans="1:7" x14ac:dyDescent="0.15">
      <c r="A14" s="197" t="s">
        <v>20</v>
      </c>
      <c r="B14" s="197"/>
      <c r="C14" s="60">
        <f>C12-C13</f>
        <v>2.2276999999999987</v>
      </c>
      <c r="D14" s="61"/>
      <c r="F14" s="62"/>
      <c r="G14" s="62"/>
    </row>
  </sheetData>
  <mergeCells count="6">
    <mergeCell ref="A14:B14"/>
    <mergeCell ref="A1:D1"/>
    <mergeCell ref="A8:B8"/>
    <mergeCell ref="A9:B9"/>
    <mergeCell ref="A12:B12"/>
    <mergeCell ref="A13:B13"/>
  </mergeCells>
  <phoneticPr fontId="9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EW9"/>
  <sheetViews>
    <sheetView workbookViewId="0">
      <selection activeCell="A5" sqref="A5"/>
    </sheetView>
  </sheetViews>
  <sheetFormatPr defaultColWidth="9" defaultRowHeight="22.5" customHeight="1" x14ac:dyDescent="0.15"/>
  <cols>
    <col min="1" max="1" width="9.75" style="1" customWidth="1"/>
    <col min="2" max="2" width="13.5" style="1" customWidth="1"/>
    <col min="3" max="3" width="20.875" style="47" customWidth="1"/>
    <col min="4" max="4" width="12" style="1" customWidth="1"/>
    <col min="5" max="5" width="11.75" style="1" customWidth="1"/>
    <col min="6" max="6" width="15.5" style="1" customWidth="1"/>
    <col min="7" max="7" width="12.25" style="1" customWidth="1"/>
    <col min="8" max="8" width="12.625" style="48" customWidth="1"/>
    <col min="9" max="9" width="13.5" style="1" customWidth="1"/>
    <col min="10" max="10" width="11.625" style="1" hidden="1" customWidth="1"/>
    <col min="11" max="16377" width="9" style="1"/>
  </cols>
  <sheetData>
    <row r="1" spans="1:10" ht="36" customHeight="1" x14ac:dyDescent="0.3">
      <c r="A1" s="187" t="s">
        <v>143</v>
      </c>
      <c r="B1" s="187"/>
      <c r="C1" s="188"/>
      <c r="D1" s="189"/>
      <c r="E1" s="189"/>
      <c r="F1" s="189"/>
      <c r="G1" s="189"/>
      <c r="H1" s="190"/>
      <c r="I1" s="189"/>
      <c r="J1" s="191"/>
    </row>
    <row r="2" spans="1:10" ht="22.5" customHeight="1" x14ac:dyDescent="0.15">
      <c r="A2" s="192" t="s">
        <v>1</v>
      </c>
      <c r="B2" s="192" t="s">
        <v>21</v>
      </c>
      <c r="C2" s="192"/>
      <c r="D2" s="192" t="s">
        <v>22</v>
      </c>
      <c r="E2" s="192" t="s">
        <v>23</v>
      </c>
      <c r="F2" s="192"/>
      <c r="G2" s="192"/>
      <c r="H2" s="193"/>
      <c r="I2" s="192"/>
      <c r="J2" s="192" t="s">
        <v>24</v>
      </c>
    </row>
    <row r="3" spans="1:10" ht="22.5" customHeight="1" x14ac:dyDescent="0.15">
      <c r="A3" s="192"/>
      <c r="B3" s="11" t="s">
        <v>25</v>
      </c>
      <c r="C3" s="16" t="s">
        <v>26</v>
      </c>
      <c r="D3" s="192"/>
      <c r="E3" s="11" t="s">
        <v>27</v>
      </c>
      <c r="F3" s="11" t="s">
        <v>28</v>
      </c>
      <c r="G3" s="11" t="s">
        <v>29</v>
      </c>
      <c r="H3" s="50" t="s">
        <v>30</v>
      </c>
      <c r="I3" s="11" t="s">
        <v>13</v>
      </c>
      <c r="J3" s="192"/>
    </row>
    <row r="4" spans="1:10" customFormat="1" ht="22.5" customHeight="1" x14ac:dyDescent="0.15">
      <c r="A4" s="14">
        <v>1</v>
      </c>
      <c r="B4" s="14"/>
      <c r="C4" s="49" t="s">
        <v>31</v>
      </c>
      <c r="D4" s="14" t="s">
        <v>32</v>
      </c>
      <c r="E4" s="41" t="s">
        <v>33</v>
      </c>
      <c r="F4" s="38" t="str">
        <f>IF(C4="初步勘察",VLOOKUP(D4,{"Ⅰ","2200";"Ⅱ","3300";"Ⅲ","5100";"Ⅳ","7700";"Ⅴ","11100"},2,0),VLOOKUP(D4,{"Ⅰ","7100";"Ⅱ","10800";"Ⅲ","16700";"Ⅳ","25200";"Ⅴ","36400"},2,0))</f>
        <v>3300</v>
      </c>
      <c r="G4" s="38"/>
      <c r="H4" s="40">
        <v>1</v>
      </c>
      <c r="I4" s="43">
        <f>F4*G4*H4</f>
        <v>0</v>
      </c>
      <c r="J4" s="14" t="s">
        <v>34</v>
      </c>
    </row>
    <row r="5" spans="1:10" ht="22.5" customHeight="1" x14ac:dyDescent="0.15">
      <c r="A5" s="14">
        <v>2</v>
      </c>
      <c r="B5" s="37"/>
      <c r="C5" s="49" t="s">
        <v>35</v>
      </c>
      <c r="D5" s="14" t="s">
        <v>36</v>
      </c>
      <c r="E5" s="41" t="s">
        <v>33</v>
      </c>
      <c r="F5" s="38" t="str">
        <f>IF(C5="初步勘察",VLOOKUP(D5,{"Ⅰ","2200";"Ⅱ","3300";"Ⅲ","5100";"Ⅳ","7700";"Ⅴ","11100"},2,0),VLOOKUP(D5,{"Ⅰ","7100";"Ⅱ","10800";"Ⅲ","16700";"Ⅳ","25200";"Ⅴ","36400"},2,0))</f>
        <v>16700</v>
      </c>
      <c r="G5" s="38"/>
      <c r="H5" s="40">
        <v>2</v>
      </c>
      <c r="I5" s="43">
        <f>F5*G5*H5</f>
        <v>0</v>
      </c>
      <c r="J5" s="14" t="s">
        <v>34</v>
      </c>
    </row>
    <row r="6" spans="1:10" ht="22.5" customHeight="1" x14ac:dyDescent="0.15">
      <c r="A6" s="37"/>
      <c r="B6" s="37"/>
      <c r="C6" s="49"/>
      <c r="D6" s="37"/>
      <c r="E6" s="37"/>
      <c r="F6" s="51"/>
      <c r="G6" s="51"/>
      <c r="H6" s="52"/>
      <c r="I6" s="43"/>
      <c r="J6" s="37"/>
    </row>
    <row r="7" spans="1:10" ht="22.5" customHeight="1" x14ac:dyDescent="0.15">
      <c r="A7" s="37"/>
      <c r="B7" s="37"/>
      <c r="C7" s="42"/>
      <c r="D7" s="37"/>
      <c r="E7" s="37"/>
      <c r="F7" s="51"/>
      <c r="G7" s="51"/>
      <c r="H7" s="52"/>
      <c r="I7" s="53"/>
      <c r="J7" s="37"/>
    </row>
    <row r="8" spans="1:10" ht="22.5" customHeight="1" x14ac:dyDescent="0.15">
      <c r="A8" s="37"/>
      <c r="B8" s="37"/>
      <c r="C8" s="42"/>
      <c r="D8" s="37"/>
      <c r="E8" s="37"/>
      <c r="F8" s="51"/>
      <c r="G8" s="51"/>
      <c r="H8" s="52"/>
      <c r="I8" s="53"/>
      <c r="J8" s="37"/>
    </row>
    <row r="9" spans="1:10" ht="22.5" customHeight="1" x14ac:dyDescent="0.15">
      <c r="A9" s="194" t="s">
        <v>37</v>
      </c>
      <c r="B9" s="195"/>
      <c r="C9" s="195"/>
      <c r="D9" s="195"/>
      <c r="E9" s="195"/>
      <c r="F9" s="195"/>
      <c r="G9" s="195"/>
      <c r="H9" s="196"/>
      <c r="I9" s="53">
        <f>SUM(I4:I8)</f>
        <v>0</v>
      </c>
      <c r="J9" s="37"/>
    </row>
  </sheetData>
  <mergeCells count="7">
    <mergeCell ref="A1:J1"/>
    <mergeCell ref="B2:C2"/>
    <mergeCell ref="E2:I2"/>
    <mergeCell ref="A9:H9"/>
    <mergeCell ref="A2:A3"/>
    <mergeCell ref="D2:D3"/>
    <mergeCell ref="J2:J3"/>
  </mergeCells>
  <phoneticPr fontId="9" type="noConversion"/>
  <dataValidations count="3">
    <dataValidation type="list" allowBlank="1" showInputMessage="1" showErrorMessage="1" sqref="C4:C6" xr:uid="{00000000-0002-0000-0100-000000000000}">
      <formula1>"初步勘察,详细勘察"</formula1>
    </dataValidation>
    <dataValidation type="list" allowBlank="1" showInputMessage="1" showErrorMessage="1" sqref="D4:D5" xr:uid="{00000000-0002-0000-0100-000001000000}">
      <formula1>"Ⅰ,Ⅱ,Ⅲ,Ⅳ,Ⅴ"</formula1>
    </dataValidation>
    <dataValidation type="list" allowBlank="1" showInputMessage="1" showErrorMessage="1" sqref="H4:H5" xr:uid="{00000000-0002-0000-0100-000002000000}">
      <formula1>"1,1.1,1.2,1.3"</formula1>
    </dataValidation>
  </dataValidations>
  <printOptions horizontalCentered="1"/>
  <pageMargins left="0.78680555555555598" right="0.59027777777777801" top="0.78680555555555598" bottom="0.59027777777777801" header="0.5" footer="0.196527777777778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59999389629810485"/>
    <outlinePr summaryBelow="0" summaryRight="0"/>
  </sheetPr>
  <dimension ref="A1:AQ190"/>
  <sheetViews>
    <sheetView zoomScaleNormal="100" workbookViewId="0">
      <pane xSplit="7" ySplit="3" topLeftCell="H4" activePane="bottomRight" state="frozen"/>
      <selection sqref="A1:R1"/>
      <selection pane="topRight" sqref="A1:R1"/>
      <selection pane="bottomLeft" sqref="A1:R1"/>
      <selection pane="bottomRight" activeCell="A29" sqref="A29:XFD37"/>
    </sheetView>
  </sheetViews>
  <sheetFormatPr defaultColWidth="9" defaultRowHeight="22.5" customHeight="1" outlineLevelRow="1" outlineLevelCol="2" x14ac:dyDescent="0.15"/>
  <cols>
    <col min="1" max="1" width="5.625" style="64" customWidth="1"/>
    <col min="2" max="2" width="5.5" style="90" customWidth="1"/>
    <col min="3" max="3" width="22" style="64" customWidth="1"/>
    <col min="4" max="4" width="5.5" style="64" hidden="1" customWidth="1"/>
    <col min="5" max="5" width="10.25" style="64" customWidth="1"/>
    <col min="6" max="6" width="8.125" style="76" customWidth="1"/>
    <col min="7" max="7" width="5.25" style="64" customWidth="1"/>
    <col min="8" max="8" width="9.875" style="64" customWidth="1"/>
    <col min="9" max="9" width="9.25" style="77" customWidth="1"/>
    <col min="10" max="10" width="12.625" style="64" customWidth="1"/>
    <col min="11" max="11" width="11.5" style="78" customWidth="1" outlineLevel="1"/>
    <col min="12" max="12" width="13.25" style="78" customWidth="1"/>
    <col min="13" max="13" width="13.25" style="78" customWidth="1" outlineLevel="1"/>
    <col min="14" max="14" width="10.5" style="78" customWidth="1"/>
    <col min="15" max="15" width="9.875" style="64" customWidth="1"/>
    <col min="16" max="16" width="21.25" style="102" customWidth="1"/>
    <col min="17" max="17" width="4.875" style="102" customWidth="1"/>
    <col min="18" max="18" width="8.625" style="98" customWidth="1"/>
    <col min="19" max="19" width="33.375" style="103" customWidth="1" outlineLevel="2"/>
    <col min="20" max="20" width="9.875" style="64" customWidth="1" outlineLevel="1"/>
    <col min="21" max="21" width="22.375" style="103" customWidth="1" outlineLevel="2"/>
    <col min="22" max="22" width="14.125" style="64" customWidth="1" outlineLevel="1"/>
    <col min="23" max="23" width="18.5" style="103" customWidth="1" outlineLevel="2"/>
    <col min="24" max="24" width="13.25" style="78" customWidth="1" outlineLevel="1"/>
    <col min="25" max="25" width="18.5" style="103" customWidth="1" outlineLevel="2"/>
    <col min="26" max="26" width="9" style="94" customWidth="1" outlineLevel="1"/>
    <col min="27" max="28" width="9" style="94" customWidth="1" outlineLevel="2"/>
    <col min="29" max="29" width="8.625" style="98" customWidth="1" outlineLevel="2"/>
    <col min="30" max="31" width="9.625" style="98" customWidth="1" outlineLevel="2"/>
    <col min="32" max="32" width="9" style="98" customWidth="1" outlineLevel="1"/>
    <col min="33" max="33" width="5.125" style="98" customWidth="1" outlineLevel="2"/>
    <col min="34" max="34" width="6.875" style="98" customWidth="1" outlineLevel="2"/>
    <col min="35" max="37" width="17.5" style="98" customWidth="1" outlineLevel="2"/>
    <col min="38" max="38" width="8.625" style="98" customWidth="1" outlineLevel="1"/>
    <col min="39" max="41" width="9.625" style="98" customWidth="1" outlineLevel="2"/>
    <col min="42" max="42" width="19.625" style="98" customWidth="1" outlineLevel="2"/>
    <col min="43" max="43" width="9" style="64" customWidth="1" outlineLevel="1"/>
    <col min="44" max="16384" width="9" style="64"/>
  </cols>
  <sheetData>
    <row r="1" spans="1:42" ht="36" customHeight="1" x14ac:dyDescent="0.15">
      <c r="A1" s="160" t="s">
        <v>141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1"/>
      <c r="P1" s="161"/>
      <c r="Q1" s="92"/>
      <c r="T1" s="92"/>
      <c r="V1" s="103"/>
      <c r="X1" s="103"/>
    </row>
    <row r="2" spans="1:42" s="79" customFormat="1" ht="22.5" customHeight="1" x14ac:dyDescent="0.15">
      <c r="A2" s="205" t="s">
        <v>1</v>
      </c>
      <c r="B2" s="205" t="s">
        <v>21</v>
      </c>
      <c r="C2" s="205"/>
      <c r="D2" s="205"/>
      <c r="E2" s="205"/>
      <c r="F2" s="205"/>
      <c r="G2" s="205"/>
      <c r="H2" s="206" t="s">
        <v>114</v>
      </c>
      <c r="I2" s="207"/>
      <c r="J2" s="207"/>
      <c r="K2" s="208"/>
      <c r="L2" s="209" t="s">
        <v>115</v>
      </c>
      <c r="M2" s="210"/>
      <c r="N2" s="209" t="s">
        <v>40</v>
      </c>
      <c r="O2" s="205" t="s">
        <v>24</v>
      </c>
      <c r="P2" s="205" t="s">
        <v>4</v>
      </c>
      <c r="Q2" s="93"/>
      <c r="R2" s="139"/>
      <c r="S2" s="141"/>
      <c r="T2" s="107"/>
      <c r="U2" s="107"/>
      <c r="V2" s="107"/>
      <c r="W2" s="107"/>
      <c r="X2" s="107"/>
      <c r="Y2" s="107"/>
      <c r="Z2" s="126"/>
      <c r="AA2" s="126"/>
      <c r="AB2" s="126"/>
      <c r="AC2" s="132"/>
      <c r="AD2" s="132"/>
      <c r="AE2" s="132"/>
      <c r="AF2" s="124"/>
      <c r="AG2" s="132"/>
      <c r="AH2" s="132"/>
      <c r="AI2" s="132"/>
      <c r="AJ2" s="132"/>
      <c r="AK2" s="132"/>
      <c r="AL2" s="138"/>
      <c r="AM2" s="132"/>
      <c r="AN2" s="132"/>
      <c r="AO2" s="132"/>
      <c r="AP2" s="132"/>
    </row>
    <row r="3" spans="1:42" s="79" customFormat="1" ht="24" x14ac:dyDescent="0.15">
      <c r="A3" s="205"/>
      <c r="B3" s="65" t="s">
        <v>2</v>
      </c>
      <c r="C3" s="65" t="s">
        <v>116</v>
      </c>
      <c r="D3" s="65" t="s">
        <v>245</v>
      </c>
      <c r="E3" s="65" t="s">
        <v>117</v>
      </c>
      <c r="F3" s="67" t="s">
        <v>118</v>
      </c>
      <c r="G3" s="65" t="s">
        <v>27</v>
      </c>
      <c r="H3" s="155" t="s">
        <v>148</v>
      </c>
      <c r="I3" s="157" t="s">
        <v>129</v>
      </c>
      <c r="J3" s="155" t="s">
        <v>206</v>
      </c>
      <c r="K3" s="66" t="s">
        <v>13</v>
      </c>
      <c r="L3" s="155" t="s">
        <v>200</v>
      </c>
      <c r="M3" s="65" t="s">
        <v>13</v>
      </c>
      <c r="N3" s="209"/>
      <c r="O3" s="205"/>
      <c r="P3" s="205"/>
      <c r="Q3" s="93">
        <v>0</v>
      </c>
      <c r="R3" s="139" t="s">
        <v>235</v>
      </c>
      <c r="S3" s="141" t="s">
        <v>234</v>
      </c>
      <c r="T3" s="107" t="s">
        <v>201</v>
      </c>
      <c r="U3" s="107" t="s">
        <v>199</v>
      </c>
      <c r="V3" s="107" t="s">
        <v>202</v>
      </c>
      <c r="W3" s="107" t="s">
        <v>208</v>
      </c>
      <c r="X3" s="107" t="s">
        <v>203</v>
      </c>
      <c r="Y3" s="107" t="s">
        <v>207</v>
      </c>
      <c r="Z3" s="122" t="s">
        <v>147</v>
      </c>
      <c r="AA3" s="126"/>
      <c r="AB3" s="126"/>
      <c r="AC3" s="132"/>
      <c r="AD3" s="132"/>
      <c r="AE3" s="132"/>
      <c r="AF3" s="124" t="s">
        <v>149</v>
      </c>
      <c r="AG3" s="132"/>
      <c r="AH3" s="132"/>
      <c r="AI3" s="132"/>
      <c r="AJ3" s="132"/>
      <c r="AK3" s="132"/>
      <c r="AL3" s="138" t="s">
        <v>228</v>
      </c>
      <c r="AM3" s="138"/>
      <c r="AN3" s="138"/>
      <c r="AO3" s="138"/>
      <c r="AP3" s="138"/>
    </row>
    <row r="4" spans="1:42" s="80" customFormat="1" ht="36" outlineLevel="1" x14ac:dyDescent="0.15">
      <c r="A4" s="68" t="s">
        <v>139</v>
      </c>
      <c r="B4" s="68" t="s">
        <v>130</v>
      </c>
      <c r="C4" s="68" t="s">
        <v>132</v>
      </c>
      <c r="D4" s="68" t="s">
        <v>135</v>
      </c>
      <c r="E4" s="68" t="s">
        <v>133</v>
      </c>
      <c r="F4" s="69" t="s">
        <v>134</v>
      </c>
      <c r="G4" s="68" t="s">
        <v>131</v>
      </c>
      <c r="H4" s="68" t="s">
        <v>138</v>
      </c>
      <c r="I4" s="68" t="s">
        <v>29</v>
      </c>
      <c r="J4" s="68" t="s">
        <v>136</v>
      </c>
      <c r="K4" s="68"/>
      <c r="L4" s="68" t="s">
        <v>137</v>
      </c>
      <c r="M4" s="68"/>
      <c r="N4" s="70"/>
      <c r="O4" s="68"/>
      <c r="P4" s="68"/>
      <c r="Q4" s="119"/>
      <c r="R4" s="139" t="s">
        <v>235</v>
      </c>
      <c r="S4" s="141" t="s">
        <v>234</v>
      </c>
      <c r="T4" s="121" t="s">
        <v>204</v>
      </c>
      <c r="U4" s="121" t="s">
        <v>204</v>
      </c>
      <c r="V4" s="121" t="s">
        <v>204</v>
      </c>
      <c r="W4" s="121" t="s">
        <v>204</v>
      </c>
      <c r="X4" s="121" t="s">
        <v>204</v>
      </c>
      <c r="Y4" s="121" t="s">
        <v>204</v>
      </c>
      <c r="Z4" s="122" t="s">
        <v>147</v>
      </c>
      <c r="AA4" s="122" t="s">
        <v>147</v>
      </c>
      <c r="AB4" s="122" t="s">
        <v>147</v>
      </c>
      <c r="AC4" s="133" t="s">
        <v>218</v>
      </c>
      <c r="AD4" s="133" t="s">
        <v>216</v>
      </c>
      <c r="AE4" s="133" t="s">
        <v>217</v>
      </c>
      <c r="AF4" s="124" t="s">
        <v>149</v>
      </c>
      <c r="AG4" s="124" t="s">
        <v>150</v>
      </c>
      <c r="AH4" s="124" t="s">
        <v>151</v>
      </c>
      <c r="AI4" s="124" t="s">
        <v>152</v>
      </c>
      <c r="AJ4" s="124" t="s">
        <v>153</v>
      </c>
      <c r="AK4" s="124" t="s">
        <v>154</v>
      </c>
      <c r="AL4" s="138" t="s">
        <v>229</v>
      </c>
      <c r="AM4" s="138" t="s">
        <v>230</v>
      </c>
      <c r="AN4" s="138" t="s">
        <v>230</v>
      </c>
      <c r="AO4" s="138" t="s">
        <v>231</v>
      </c>
      <c r="AP4" s="138" t="s">
        <v>232</v>
      </c>
    </row>
    <row r="5" spans="1:42" s="79" customFormat="1" ht="48" x14ac:dyDescent="0.15">
      <c r="A5" s="71">
        <v>1</v>
      </c>
      <c r="B5" s="205" t="s">
        <v>182</v>
      </c>
      <c r="C5" s="71" t="s">
        <v>119</v>
      </c>
      <c r="D5" s="71"/>
      <c r="E5" s="71" t="s">
        <v>120</v>
      </c>
      <c r="F5" s="71" t="s">
        <v>121</v>
      </c>
      <c r="G5" s="134" t="s">
        <v>47</v>
      </c>
      <c r="H5" s="71">
        <v>500000</v>
      </c>
      <c r="I5" s="71">
        <v>26</v>
      </c>
      <c r="J5" s="71"/>
      <c r="K5" s="72">
        <f t="shared" ref="K5:K28" si="0">I5*J5*H5</f>
        <v>0</v>
      </c>
      <c r="L5" s="134"/>
      <c r="M5" s="72">
        <f>K5*L5</f>
        <v>0</v>
      </c>
      <c r="N5" s="73">
        <f>K5+M5</f>
        <v>0</v>
      </c>
      <c r="O5" s="204" t="s">
        <v>127</v>
      </c>
      <c r="P5" s="100" t="s">
        <v>179</v>
      </c>
      <c r="Q5" s="112"/>
      <c r="R5" s="132"/>
      <c r="S5" s="109"/>
      <c r="T5" s="113">
        <f>IF(E5="GPS测量E级",VLOOKUP(F5,{"简单","2821";"中等","3203";"复杂","4123"},2,0))+IF(E5="GPS测量D级",VLOOKUP(F5,{"简单","3198";"中等","3632";"复杂","4671"},2,0))+IF(E5="GPS测量C级",VLOOKUP(F5,{"简单","3727";"中等","4274";"复杂","5500"},2,0))</f>
        <v>4274</v>
      </c>
      <c r="U5" s="109" t="s">
        <v>181</v>
      </c>
      <c r="V5" s="113">
        <v>0.6</v>
      </c>
      <c r="W5" s="108" t="s">
        <v>192</v>
      </c>
      <c r="X5" s="114">
        <v>0.22</v>
      </c>
      <c r="Y5" s="109" t="s">
        <v>174</v>
      </c>
      <c r="Z5" s="125">
        <f t="shared" ref="Z5:Z29" si="1">H5+AC5-T5</f>
        <v>495726</v>
      </c>
      <c r="AA5" s="125">
        <f t="shared" ref="AA5:AA29" si="2">J5+AD5-V5</f>
        <v>-0.6</v>
      </c>
      <c r="AB5" s="125">
        <f>L5+AE5-X5</f>
        <v>-0.22</v>
      </c>
      <c r="AC5" s="132"/>
      <c r="AD5" s="132"/>
      <c r="AE5" s="132"/>
      <c r="AF5" s="132"/>
      <c r="AG5" s="132"/>
      <c r="AH5" s="132"/>
      <c r="AI5" s="132"/>
      <c r="AJ5" s="132"/>
      <c r="AK5" s="132"/>
      <c r="AL5" s="132"/>
      <c r="AM5" s="132"/>
      <c r="AN5" s="132"/>
      <c r="AO5" s="132"/>
      <c r="AP5" s="132"/>
    </row>
    <row r="6" spans="1:42" s="79" customFormat="1" ht="48" x14ac:dyDescent="0.15">
      <c r="A6" s="71">
        <v>2</v>
      </c>
      <c r="B6" s="205"/>
      <c r="C6" s="71" t="s">
        <v>238</v>
      </c>
      <c r="D6" s="71"/>
      <c r="E6" s="71" t="s">
        <v>48</v>
      </c>
      <c r="F6" s="71" t="s">
        <v>46</v>
      </c>
      <c r="G6" s="134" t="s">
        <v>47</v>
      </c>
      <c r="H6" s="71"/>
      <c r="I6" s="71">
        <v>62</v>
      </c>
      <c r="J6" s="71"/>
      <c r="K6" s="72">
        <f t="shared" si="0"/>
        <v>0</v>
      </c>
      <c r="L6" s="134"/>
      <c r="M6" s="72">
        <f>K6*L6</f>
        <v>0</v>
      </c>
      <c r="N6" s="73">
        <f>K6+M6</f>
        <v>0</v>
      </c>
      <c r="O6" s="204"/>
      <c r="P6" s="100" t="s">
        <v>179</v>
      </c>
      <c r="Q6" s="112"/>
      <c r="R6" s="132"/>
      <c r="S6" s="109"/>
      <c r="T6" s="113">
        <f>IF(E6="GPS测量E级",VLOOKUP(F6,{"简单","2821";"中等","3203";"复杂","4123"},2,0))+IF(E6="GPS测量D级",VLOOKUP(F6,{"简单","3198";"中等","3632";"复杂","4671"},2,0))+IF(E6="GPS测量C级",VLOOKUP(F6,{"简单","3727";"中等","4274";"复杂","5500"},2,0))</f>
        <v>3203</v>
      </c>
      <c r="U6" s="109"/>
      <c r="V6" s="113">
        <v>0.6</v>
      </c>
      <c r="W6" s="108" t="s">
        <v>183</v>
      </c>
      <c r="X6" s="114">
        <v>0.22</v>
      </c>
      <c r="Y6" s="108" t="s">
        <v>226</v>
      </c>
      <c r="Z6" s="125">
        <f t="shared" si="1"/>
        <v>-3203</v>
      </c>
      <c r="AA6" s="125">
        <f t="shared" si="2"/>
        <v>-0.6</v>
      </c>
      <c r="AB6" s="125">
        <f t="shared" ref="AB6:AB29" si="3">L6+AE6-X6</f>
        <v>-0.22</v>
      </c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</row>
    <row r="7" spans="1:42" s="79" customFormat="1" ht="22.5" customHeight="1" x14ac:dyDescent="0.15">
      <c r="A7" s="71">
        <v>3</v>
      </c>
      <c r="B7" s="205"/>
      <c r="C7" s="74" t="s">
        <v>49</v>
      </c>
      <c r="D7" s="71"/>
      <c r="E7" s="71" t="s">
        <v>48</v>
      </c>
      <c r="F7" s="71" t="s">
        <v>50</v>
      </c>
      <c r="G7" s="134" t="s">
        <v>51</v>
      </c>
      <c r="H7" s="71"/>
      <c r="I7" s="71"/>
      <c r="J7" s="71"/>
      <c r="K7" s="72">
        <f t="shared" si="0"/>
        <v>0</v>
      </c>
      <c r="L7" s="134"/>
      <c r="M7" s="72">
        <f t="shared" ref="M7:M15" si="4">K7*L7</f>
        <v>0</v>
      </c>
      <c r="N7" s="73">
        <f t="shared" ref="N7:N15" si="5">K7+M7</f>
        <v>0</v>
      </c>
      <c r="O7" s="211"/>
      <c r="P7" s="100"/>
      <c r="Q7" s="112"/>
      <c r="R7" s="132"/>
      <c r="S7" s="109"/>
      <c r="T7" s="113">
        <f>IF(E7="GPS测量E级",VLOOKUP(F7,{"简单","2821";"中等","3203";"复杂","4123"},2,0))+IF(E7="GPS测量D级",VLOOKUP(F7,{"简单","3198";"中等","3632";"复杂","4671"},2,0))+IF(E7="GPS测量C级",VLOOKUP(F7,{"简单","3727";"中等","4274";"复杂","5500"},2,0))</f>
        <v>4123</v>
      </c>
      <c r="U7" s="109"/>
      <c r="V7" s="113">
        <v>0.6</v>
      </c>
      <c r="W7" s="109"/>
      <c r="X7" s="114">
        <v>0.22</v>
      </c>
      <c r="Y7" s="109"/>
      <c r="Z7" s="125">
        <f t="shared" si="1"/>
        <v>-4123</v>
      </c>
      <c r="AA7" s="125">
        <f t="shared" si="2"/>
        <v>-0.6</v>
      </c>
      <c r="AB7" s="125">
        <f t="shared" si="3"/>
        <v>-0.22</v>
      </c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</row>
    <row r="8" spans="1:42" s="79" customFormat="1" ht="22.5" customHeight="1" x14ac:dyDescent="0.15">
      <c r="A8" s="71">
        <v>4</v>
      </c>
      <c r="B8" s="205"/>
      <c r="C8" s="74" t="s">
        <v>52</v>
      </c>
      <c r="D8" s="71"/>
      <c r="E8" s="71" t="s">
        <v>48</v>
      </c>
      <c r="F8" s="71" t="s">
        <v>50</v>
      </c>
      <c r="G8" s="134" t="s">
        <v>51</v>
      </c>
      <c r="H8" s="71"/>
      <c r="I8" s="71"/>
      <c r="J8" s="71"/>
      <c r="K8" s="72">
        <f t="shared" si="0"/>
        <v>0</v>
      </c>
      <c r="L8" s="134"/>
      <c r="M8" s="72">
        <f t="shared" si="4"/>
        <v>0</v>
      </c>
      <c r="N8" s="73">
        <f t="shared" si="5"/>
        <v>0</v>
      </c>
      <c r="O8" s="211"/>
      <c r="P8" s="100"/>
      <c r="Q8" s="112"/>
      <c r="R8" s="132"/>
      <c r="S8" s="109"/>
      <c r="T8" s="113">
        <f>IF(E8="GPS测量E级",VLOOKUP(F8,{"简单","2821";"中等","3203";"复杂","4123"},2,0))+IF(E8="GPS测量D级",VLOOKUP(F8,{"简单","3198";"中等","3632";"复杂","4671"},2,0))+IF(E8="GPS测量C级",VLOOKUP(F8,{"简单","3727";"中等","4274";"复杂","5500"},2,0))</f>
        <v>4123</v>
      </c>
      <c r="U8" s="109"/>
      <c r="V8" s="113">
        <v>0.6</v>
      </c>
      <c r="W8" s="109"/>
      <c r="X8" s="114">
        <v>0.22</v>
      </c>
      <c r="Y8" s="109"/>
      <c r="Z8" s="125">
        <f t="shared" si="1"/>
        <v>-4123</v>
      </c>
      <c r="AA8" s="125">
        <f t="shared" si="2"/>
        <v>-0.6</v>
      </c>
      <c r="AB8" s="125">
        <f t="shared" si="3"/>
        <v>-0.22</v>
      </c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2"/>
      <c r="AN8" s="132"/>
      <c r="AO8" s="132"/>
      <c r="AP8" s="132"/>
    </row>
    <row r="9" spans="1:42" s="79" customFormat="1" ht="22.5" customHeight="1" x14ac:dyDescent="0.15">
      <c r="A9" s="71">
        <v>5</v>
      </c>
      <c r="B9" s="205"/>
      <c r="C9" s="71" t="s">
        <v>53</v>
      </c>
      <c r="D9" s="71"/>
      <c r="E9" s="71" t="s">
        <v>48</v>
      </c>
      <c r="F9" s="71" t="s">
        <v>50</v>
      </c>
      <c r="G9" s="134" t="s">
        <v>51</v>
      </c>
      <c r="H9" s="71"/>
      <c r="I9" s="71"/>
      <c r="J9" s="71"/>
      <c r="K9" s="72">
        <f t="shared" si="0"/>
        <v>0</v>
      </c>
      <c r="L9" s="134"/>
      <c r="M9" s="72">
        <f t="shared" si="4"/>
        <v>0</v>
      </c>
      <c r="N9" s="73">
        <f t="shared" si="5"/>
        <v>0</v>
      </c>
      <c r="O9" s="211"/>
      <c r="P9" s="100"/>
      <c r="Q9" s="112"/>
      <c r="R9" s="132"/>
      <c r="S9" s="109"/>
      <c r="T9" s="113">
        <f>IF(E9="GPS测量E级",VLOOKUP(F9,{"简单","2821";"中等","3203";"复杂","4123"},2,0))+IF(E9="GPS测量D级",VLOOKUP(F9,{"简单","3198";"中等","3632";"复杂","4671"},2,0))+IF(E9="GPS测量C级",VLOOKUP(F9,{"简单","3727";"中等","4274";"复杂","5500"},2,0))</f>
        <v>4123</v>
      </c>
      <c r="U9" s="109"/>
      <c r="V9" s="113">
        <v>0.6</v>
      </c>
      <c r="W9" s="109"/>
      <c r="X9" s="114">
        <v>0.22</v>
      </c>
      <c r="Y9" s="109"/>
      <c r="Z9" s="125">
        <f t="shared" si="1"/>
        <v>-4123</v>
      </c>
      <c r="AA9" s="125">
        <f t="shared" si="2"/>
        <v>-0.6</v>
      </c>
      <c r="AB9" s="125">
        <f t="shared" si="3"/>
        <v>-0.22</v>
      </c>
      <c r="AC9" s="132"/>
      <c r="AD9" s="132"/>
      <c r="AE9" s="132"/>
      <c r="AF9" s="132"/>
      <c r="AG9" s="132"/>
      <c r="AH9" s="132"/>
      <c r="AI9" s="132"/>
      <c r="AJ9" s="132"/>
      <c r="AK9" s="132"/>
      <c r="AL9" s="132"/>
      <c r="AM9" s="132"/>
      <c r="AN9" s="132"/>
      <c r="AO9" s="132"/>
      <c r="AP9" s="132"/>
    </row>
    <row r="10" spans="1:42" s="79" customFormat="1" ht="22.5" customHeight="1" x14ac:dyDescent="0.15">
      <c r="A10" s="71">
        <v>6</v>
      </c>
      <c r="B10" s="205"/>
      <c r="C10" s="71" t="s">
        <v>54</v>
      </c>
      <c r="D10" s="71"/>
      <c r="E10" s="71" t="s">
        <v>48</v>
      </c>
      <c r="F10" s="71" t="s">
        <v>50</v>
      </c>
      <c r="G10" s="134" t="s">
        <v>51</v>
      </c>
      <c r="H10" s="71"/>
      <c r="I10" s="71"/>
      <c r="J10" s="71"/>
      <c r="K10" s="72">
        <f t="shared" si="0"/>
        <v>0</v>
      </c>
      <c r="L10" s="134"/>
      <c r="M10" s="72">
        <f t="shared" si="4"/>
        <v>0</v>
      </c>
      <c r="N10" s="73">
        <f t="shared" si="5"/>
        <v>0</v>
      </c>
      <c r="O10" s="211"/>
      <c r="P10" s="100"/>
      <c r="Q10" s="112"/>
      <c r="R10" s="132"/>
      <c r="S10" s="109"/>
      <c r="T10" s="113">
        <f>IF(E10="GPS测量E级",VLOOKUP(F10,{"简单","2821";"中等","3203";"复杂","4123"},2,0))+IF(E10="GPS测量D级",VLOOKUP(F10,{"简单","3198";"中等","3632";"复杂","4671"},2,0))+IF(E10="GPS测量C级",VLOOKUP(F10,{"简单","3727";"中等","4274";"复杂","5500"},2,0))</f>
        <v>4123</v>
      </c>
      <c r="U10" s="109"/>
      <c r="V10" s="113">
        <v>0.6</v>
      </c>
      <c r="W10" s="109"/>
      <c r="X10" s="114">
        <v>0.22</v>
      </c>
      <c r="Y10" s="109"/>
      <c r="Z10" s="125">
        <f t="shared" si="1"/>
        <v>-4123</v>
      </c>
      <c r="AA10" s="125">
        <f t="shared" si="2"/>
        <v>-0.6</v>
      </c>
      <c r="AB10" s="125">
        <f t="shared" si="3"/>
        <v>-0.22</v>
      </c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2"/>
    </row>
    <row r="11" spans="1:42" s="79" customFormat="1" ht="22.5" customHeight="1" x14ac:dyDescent="0.15">
      <c r="A11" s="71">
        <v>7</v>
      </c>
      <c r="B11" s="205"/>
      <c r="C11" s="71" t="s">
        <v>55</v>
      </c>
      <c r="D11" s="71"/>
      <c r="E11" s="71" t="s">
        <v>48</v>
      </c>
      <c r="F11" s="71" t="s">
        <v>46</v>
      </c>
      <c r="G11" s="134" t="s">
        <v>51</v>
      </c>
      <c r="H11" s="71"/>
      <c r="I11" s="71"/>
      <c r="J11" s="71"/>
      <c r="K11" s="72">
        <f t="shared" si="0"/>
        <v>0</v>
      </c>
      <c r="L11" s="134"/>
      <c r="M11" s="72">
        <f t="shared" si="4"/>
        <v>0</v>
      </c>
      <c r="N11" s="73">
        <f t="shared" si="5"/>
        <v>0</v>
      </c>
      <c r="O11" s="211"/>
      <c r="P11" s="100"/>
      <c r="Q11" s="112"/>
      <c r="R11" s="132"/>
      <c r="S11" s="109"/>
      <c r="T11" s="113">
        <f>IF(E11="GPS测量E级",VLOOKUP(F11,{"简单","2821";"中等","3203";"复杂","4123"},2,0))+IF(E11="GPS测量D级",VLOOKUP(F11,{"简单","3198";"中等","3632";"复杂","4671"},2,0))+IF(E11="GPS测量C级",VLOOKUP(F11,{"简单","3727";"中等","4274";"复杂","5500"},2,0))</f>
        <v>3203</v>
      </c>
      <c r="U11" s="109"/>
      <c r="V11" s="113">
        <v>0.6</v>
      </c>
      <c r="W11" s="109"/>
      <c r="X11" s="114">
        <v>0.22</v>
      </c>
      <c r="Y11" s="109"/>
      <c r="Z11" s="125">
        <f t="shared" si="1"/>
        <v>-3203</v>
      </c>
      <c r="AA11" s="125">
        <f t="shared" si="2"/>
        <v>-0.6</v>
      </c>
      <c r="AB11" s="125">
        <f t="shared" si="3"/>
        <v>-0.22</v>
      </c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  <c r="AM11" s="132"/>
      <c r="AN11" s="132"/>
      <c r="AO11" s="132"/>
      <c r="AP11" s="132"/>
    </row>
    <row r="12" spans="1:42" s="79" customFormat="1" ht="36" x14ac:dyDescent="0.15">
      <c r="A12" s="71">
        <v>8</v>
      </c>
      <c r="B12" s="205"/>
      <c r="C12" s="71" t="s">
        <v>56</v>
      </c>
      <c r="D12" s="71"/>
      <c r="E12" s="71" t="s">
        <v>57</v>
      </c>
      <c r="F12" s="71" t="s">
        <v>46</v>
      </c>
      <c r="G12" s="134" t="s">
        <v>51</v>
      </c>
      <c r="H12" s="71"/>
      <c r="I12" s="71"/>
      <c r="J12" s="71"/>
      <c r="K12" s="72">
        <f t="shared" si="0"/>
        <v>0</v>
      </c>
      <c r="L12" s="134"/>
      <c r="M12" s="72">
        <f t="shared" si="4"/>
        <v>0</v>
      </c>
      <c r="N12" s="73">
        <f t="shared" si="5"/>
        <v>0</v>
      </c>
      <c r="O12" s="211"/>
      <c r="P12" s="100"/>
      <c r="Q12" s="112"/>
      <c r="R12" s="132"/>
      <c r="S12" s="109"/>
      <c r="T12" s="113">
        <f>IF(E12="GPS测量E级",VLOOKUP(F12,{"简单","2821";"中等","3203";"复杂","4123"},2,0))+IF(E12="GPS测量D级",VLOOKUP(F12,{"简单","3198";"中等","3632";"复杂","4671"},2,0))+IF(E12="GPS测量C级",VLOOKUP(F12,{"简单","3727";"中等","4274";"复杂","5500"},2,0))+IF(E12="三角（边）一级",VLOOKUP(F12,{"简单","1096";"中等","1244";"复杂","1602"},2,0))</f>
        <v>1244</v>
      </c>
      <c r="U12" s="109"/>
      <c r="V12" s="113">
        <v>0.6</v>
      </c>
      <c r="W12" s="109" t="s">
        <v>213</v>
      </c>
      <c r="X12" s="114">
        <v>0.22</v>
      </c>
      <c r="Y12" s="109"/>
      <c r="Z12" s="125">
        <f t="shared" si="1"/>
        <v>-1244</v>
      </c>
      <c r="AA12" s="125">
        <f t="shared" si="2"/>
        <v>-0.6</v>
      </c>
      <c r="AB12" s="125">
        <f t="shared" si="3"/>
        <v>-0.22</v>
      </c>
      <c r="AC12" s="132"/>
      <c r="AD12" s="132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2"/>
    </row>
    <row r="13" spans="1:42" s="79" customFormat="1" ht="36" x14ac:dyDescent="0.15">
      <c r="A13" s="71">
        <v>9</v>
      </c>
      <c r="B13" s="205"/>
      <c r="C13" s="71" t="s">
        <v>58</v>
      </c>
      <c r="D13" s="71"/>
      <c r="E13" s="71" t="s">
        <v>57</v>
      </c>
      <c r="F13" s="71" t="s">
        <v>50</v>
      </c>
      <c r="G13" s="134" t="s">
        <v>51</v>
      </c>
      <c r="H13" s="71"/>
      <c r="I13" s="71"/>
      <c r="J13" s="71"/>
      <c r="K13" s="72">
        <f t="shared" si="0"/>
        <v>0</v>
      </c>
      <c r="L13" s="134"/>
      <c r="M13" s="72">
        <f t="shared" si="4"/>
        <v>0</v>
      </c>
      <c r="N13" s="73">
        <f t="shared" si="5"/>
        <v>0</v>
      </c>
      <c r="O13" s="211"/>
      <c r="P13" s="100"/>
      <c r="Q13" s="112"/>
      <c r="R13" s="132"/>
      <c r="S13" s="109"/>
      <c r="T13" s="113">
        <f>IF(E13="GPS测量E级",VLOOKUP(F13,{"简单","2821";"中等","3203";"复杂","4123"},2,0))+IF(E13="GPS测量D级",VLOOKUP(F13,{"简单","3198";"中等","3632";"复杂","4671"},2,0))+IF(E13="GPS测量C级",VLOOKUP(F13,{"简单","3727";"中等","4274";"复杂","5500"},2,0))+IF(E13="三角（边）一级",VLOOKUP(F13,{"简单","1096";"中等","1244";"复杂","1602"},2,0))</f>
        <v>1602</v>
      </c>
      <c r="U13" s="109"/>
      <c r="V13" s="113">
        <v>0.6</v>
      </c>
      <c r="W13" s="109" t="s">
        <v>213</v>
      </c>
      <c r="X13" s="114">
        <v>0.22</v>
      </c>
      <c r="Y13" s="109"/>
      <c r="Z13" s="125">
        <f t="shared" si="1"/>
        <v>-1602</v>
      </c>
      <c r="AA13" s="125">
        <f t="shared" si="2"/>
        <v>-0.6</v>
      </c>
      <c r="AB13" s="125">
        <f t="shared" si="3"/>
        <v>-0.22</v>
      </c>
      <c r="AC13" s="132"/>
      <c r="AD13" s="132"/>
      <c r="AE13" s="132"/>
      <c r="AF13" s="132"/>
      <c r="AG13" s="132"/>
      <c r="AH13" s="132"/>
      <c r="AI13" s="132"/>
      <c r="AJ13" s="132"/>
      <c r="AK13" s="132"/>
      <c r="AL13" s="132"/>
      <c r="AM13" s="132"/>
      <c r="AN13" s="132"/>
      <c r="AO13" s="132"/>
      <c r="AP13" s="132"/>
    </row>
    <row r="14" spans="1:42" s="79" customFormat="1" ht="22.5" customHeight="1" x14ac:dyDescent="0.15">
      <c r="A14" s="71">
        <v>10</v>
      </c>
      <c r="B14" s="205"/>
      <c r="C14" s="71" t="s">
        <v>59</v>
      </c>
      <c r="D14" s="71"/>
      <c r="E14" s="71" t="s">
        <v>48</v>
      </c>
      <c r="F14" s="71" t="s">
        <v>50</v>
      </c>
      <c r="G14" s="134" t="s">
        <v>51</v>
      </c>
      <c r="H14" s="71"/>
      <c r="I14" s="71"/>
      <c r="J14" s="71"/>
      <c r="K14" s="72">
        <f t="shared" si="0"/>
        <v>0</v>
      </c>
      <c r="L14" s="134"/>
      <c r="M14" s="72">
        <f t="shared" si="4"/>
        <v>0</v>
      </c>
      <c r="N14" s="73">
        <f t="shared" si="5"/>
        <v>0</v>
      </c>
      <c r="O14" s="211"/>
      <c r="P14" s="100"/>
      <c r="Q14" s="112"/>
      <c r="R14" s="132"/>
      <c r="S14" s="109"/>
      <c r="T14" s="113">
        <f>IF(E14="GPS测量E级",VLOOKUP(F14,{"简单","2821";"中等","3203";"复杂","4123"},2,0))+IF(E14="GPS测量D级",VLOOKUP(F14,{"简单","3198";"中等","3632";"复杂","4671"},2,0))+IF(E14="GPS测量C级",VLOOKUP(F14,{"简单","3727";"中等","4274";"复杂","5500"},2,0))</f>
        <v>4123</v>
      </c>
      <c r="U14" s="109"/>
      <c r="V14" s="113">
        <v>0.6</v>
      </c>
      <c r="W14" s="109"/>
      <c r="X14" s="114">
        <v>0.22</v>
      </c>
      <c r="Y14" s="109"/>
      <c r="Z14" s="125">
        <f t="shared" si="1"/>
        <v>-4123</v>
      </c>
      <c r="AA14" s="125">
        <f t="shared" si="2"/>
        <v>-0.6</v>
      </c>
      <c r="AB14" s="125">
        <f t="shared" si="3"/>
        <v>-0.22</v>
      </c>
      <c r="AC14" s="132"/>
      <c r="AD14" s="132"/>
      <c r="AE14" s="132"/>
      <c r="AF14" s="132"/>
      <c r="AG14" s="132"/>
      <c r="AH14" s="132"/>
      <c r="AI14" s="132"/>
      <c r="AJ14" s="132"/>
      <c r="AK14" s="132"/>
      <c r="AL14" s="132"/>
      <c r="AM14" s="132"/>
      <c r="AN14" s="132"/>
      <c r="AO14" s="132"/>
      <c r="AP14" s="132"/>
    </row>
    <row r="15" spans="1:42" s="79" customFormat="1" ht="22.5" customHeight="1" x14ac:dyDescent="0.15">
      <c r="A15" s="71">
        <v>11</v>
      </c>
      <c r="B15" s="205"/>
      <c r="C15" s="71" t="s">
        <v>60</v>
      </c>
      <c r="D15" s="71"/>
      <c r="E15" s="71" t="s">
        <v>48</v>
      </c>
      <c r="F15" s="71" t="s">
        <v>50</v>
      </c>
      <c r="G15" s="134" t="s">
        <v>51</v>
      </c>
      <c r="H15" s="71"/>
      <c r="I15" s="71"/>
      <c r="J15" s="71"/>
      <c r="K15" s="72">
        <f t="shared" si="0"/>
        <v>0</v>
      </c>
      <c r="L15" s="134"/>
      <c r="M15" s="72">
        <f t="shared" si="4"/>
        <v>0</v>
      </c>
      <c r="N15" s="73">
        <f t="shared" si="5"/>
        <v>0</v>
      </c>
      <c r="O15" s="211"/>
      <c r="P15" s="100"/>
      <c r="Q15" s="112"/>
      <c r="R15" s="132"/>
      <c r="S15" s="109"/>
      <c r="T15" s="113">
        <f>IF(E15="GPS测量E级",VLOOKUP(F15,{"简单","2821";"中等","3203";"复杂","4123"},2,0))+IF(E15="GPS测量D级",VLOOKUP(F15,{"简单","3198";"中等","3632";"复杂","4671"},2,0))+IF(E15="GPS测量C级",VLOOKUP(F15,{"简单","3727";"中等","4274";"复杂","5500"},2,0))</f>
        <v>4123</v>
      </c>
      <c r="U15" s="109"/>
      <c r="V15" s="113">
        <v>0.6</v>
      </c>
      <c r="W15" s="109"/>
      <c r="X15" s="114">
        <v>0.22</v>
      </c>
      <c r="Y15" s="109"/>
      <c r="Z15" s="125">
        <f t="shared" si="1"/>
        <v>-4123</v>
      </c>
      <c r="AA15" s="125">
        <f t="shared" si="2"/>
        <v>-0.6</v>
      </c>
      <c r="AB15" s="125">
        <f t="shared" si="3"/>
        <v>-0.22</v>
      </c>
      <c r="AC15" s="132"/>
      <c r="AD15" s="132"/>
      <c r="AE15" s="132"/>
      <c r="AF15" s="132"/>
      <c r="AG15" s="132"/>
      <c r="AH15" s="132"/>
      <c r="AI15" s="132"/>
      <c r="AJ15" s="132"/>
      <c r="AK15" s="132"/>
      <c r="AL15" s="132"/>
      <c r="AM15" s="132"/>
      <c r="AN15" s="132"/>
      <c r="AO15" s="132"/>
      <c r="AP15" s="132"/>
    </row>
    <row r="16" spans="1:42" s="79" customFormat="1" ht="36" x14ac:dyDescent="0.15">
      <c r="A16" s="71">
        <v>12</v>
      </c>
      <c r="B16" s="205" t="s">
        <v>176</v>
      </c>
      <c r="C16" s="71" t="s">
        <v>61</v>
      </c>
      <c r="D16" s="71"/>
      <c r="E16" s="71"/>
      <c r="F16" s="135" t="s">
        <v>62</v>
      </c>
      <c r="G16" s="134" t="s">
        <v>33</v>
      </c>
      <c r="H16" s="71"/>
      <c r="I16" s="71"/>
      <c r="J16" s="71"/>
      <c r="K16" s="72">
        <f t="shared" si="0"/>
        <v>0</v>
      </c>
      <c r="L16" s="134"/>
      <c r="M16" s="72" t="s">
        <v>63</v>
      </c>
      <c r="N16" s="73">
        <f>K16</f>
        <v>0</v>
      </c>
      <c r="O16" s="204" t="s">
        <v>156</v>
      </c>
      <c r="P16" s="100" t="s">
        <v>64</v>
      </c>
      <c r="Q16" s="112"/>
      <c r="R16" s="132"/>
      <c r="S16" s="109"/>
      <c r="T16" s="113">
        <v>4000</v>
      </c>
      <c r="U16" s="110" t="s">
        <v>214</v>
      </c>
      <c r="V16" s="113">
        <v>1</v>
      </c>
      <c r="W16" s="110"/>
      <c r="X16" s="114">
        <v>0</v>
      </c>
      <c r="Y16" s="110" t="s">
        <v>224</v>
      </c>
      <c r="Z16" s="125">
        <f t="shared" si="1"/>
        <v>-4000</v>
      </c>
      <c r="AA16" s="125">
        <f t="shared" si="2"/>
        <v>-1</v>
      </c>
      <c r="AB16" s="125">
        <f t="shared" si="3"/>
        <v>0</v>
      </c>
      <c r="AC16" s="132"/>
      <c r="AD16" s="132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</row>
    <row r="17" spans="1:42" s="79" customFormat="1" ht="48" x14ac:dyDescent="0.15">
      <c r="A17" s="71">
        <v>13</v>
      </c>
      <c r="B17" s="205"/>
      <c r="C17" s="71" t="s">
        <v>187</v>
      </c>
      <c r="D17" s="71"/>
      <c r="E17" s="71" t="s">
        <v>65</v>
      </c>
      <c r="F17" s="135" t="s">
        <v>62</v>
      </c>
      <c r="G17" s="134" t="s">
        <v>66</v>
      </c>
      <c r="H17" s="71"/>
      <c r="I17" s="71"/>
      <c r="J17" s="71"/>
      <c r="K17" s="72">
        <f t="shared" si="0"/>
        <v>0</v>
      </c>
      <c r="L17" s="134"/>
      <c r="M17" s="72" t="s">
        <v>63</v>
      </c>
      <c r="N17" s="73">
        <f t="shared" ref="N17:N22" si="6">K17</f>
        <v>0</v>
      </c>
      <c r="O17" s="204"/>
      <c r="P17" s="100" t="s">
        <v>67</v>
      </c>
      <c r="Q17" s="112"/>
      <c r="R17" s="132"/>
      <c r="S17" s="109"/>
      <c r="T17" s="113" t="str">
        <f>VLOOKUP(E17,{"Ⅰ类","2720.45";"Ⅱ类","3874.53";"Ⅲ类","4991.14"},2,0)</f>
        <v>4991.14</v>
      </c>
      <c r="U17" s="110" t="s">
        <v>188</v>
      </c>
      <c r="V17" s="113">
        <v>0.85</v>
      </c>
      <c r="W17" s="110" t="s">
        <v>186</v>
      </c>
      <c r="X17" s="114">
        <v>0</v>
      </c>
      <c r="Y17" s="109" t="s">
        <v>185</v>
      </c>
      <c r="Z17" s="125">
        <f t="shared" si="1"/>
        <v>-4991.1400000000003</v>
      </c>
      <c r="AA17" s="125">
        <f t="shared" si="2"/>
        <v>-0.85</v>
      </c>
      <c r="AB17" s="125">
        <f t="shared" si="3"/>
        <v>0</v>
      </c>
      <c r="AC17" s="132"/>
      <c r="AD17" s="132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</row>
    <row r="18" spans="1:42" s="79" customFormat="1" ht="24" x14ac:dyDescent="0.15">
      <c r="A18" s="71">
        <v>14</v>
      </c>
      <c r="B18" s="205"/>
      <c r="C18" s="71" t="s">
        <v>189</v>
      </c>
      <c r="D18" s="71"/>
      <c r="E18" s="71" t="s">
        <v>68</v>
      </c>
      <c r="F18" s="135" t="s">
        <v>62</v>
      </c>
      <c r="G18" s="134" t="s">
        <v>66</v>
      </c>
      <c r="H18" s="71"/>
      <c r="I18" s="71"/>
      <c r="J18" s="71"/>
      <c r="K18" s="72">
        <f t="shared" si="0"/>
        <v>0</v>
      </c>
      <c r="L18" s="134"/>
      <c r="M18" s="72" t="s">
        <v>63</v>
      </c>
      <c r="N18" s="73">
        <f t="shared" si="6"/>
        <v>0</v>
      </c>
      <c r="O18" s="204"/>
      <c r="P18" s="100" t="s">
        <v>184</v>
      </c>
      <c r="Q18" s="112"/>
      <c r="R18" s="132"/>
      <c r="S18" s="109"/>
      <c r="T18" s="113" t="str">
        <f>VLOOKUP(E18,{"Ⅰ类","2923.06";"Ⅱ类","5546.41";"Ⅲ类","7840.47"},2,0)</f>
        <v>5546.41</v>
      </c>
      <c r="U18" s="110" t="s">
        <v>190</v>
      </c>
      <c r="V18" s="113">
        <v>0.7</v>
      </c>
      <c r="W18" s="109" t="s">
        <v>193</v>
      </c>
      <c r="X18" s="114">
        <v>0</v>
      </c>
      <c r="Y18" s="109"/>
      <c r="Z18" s="125">
        <f t="shared" si="1"/>
        <v>-5546.41</v>
      </c>
      <c r="AA18" s="125">
        <f t="shared" si="2"/>
        <v>-0.7</v>
      </c>
      <c r="AB18" s="125">
        <f t="shared" si="3"/>
        <v>0</v>
      </c>
      <c r="AC18" s="132"/>
      <c r="AD18" s="132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</row>
    <row r="19" spans="1:42" s="79" customFormat="1" ht="24" x14ac:dyDescent="0.15">
      <c r="A19" s="71">
        <v>15</v>
      </c>
      <c r="B19" s="205"/>
      <c r="C19" s="71" t="s">
        <v>69</v>
      </c>
      <c r="D19" s="71"/>
      <c r="E19" s="71" t="s">
        <v>68</v>
      </c>
      <c r="F19" s="135" t="s">
        <v>62</v>
      </c>
      <c r="G19" s="134" t="s">
        <v>66</v>
      </c>
      <c r="H19" s="71"/>
      <c r="I19" s="71"/>
      <c r="J19" s="71"/>
      <c r="K19" s="72">
        <f t="shared" si="0"/>
        <v>0</v>
      </c>
      <c r="L19" s="134"/>
      <c r="M19" s="72" t="s">
        <v>63</v>
      </c>
      <c r="N19" s="73">
        <f t="shared" si="6"/>
        <v>0</v>
      </c>
      <c r="O19" s="204"/>
      <c r="P19" s="100" t="s">
        <v>70</v>
      </c>
      <c r="Q19" s="112"/>
      <c r="R19" s="132"/>
      <c r="S19" s="109"/>
      <c r="T19" s="113" t="str">
        <f>VLOOKUP(E19,{"Ⅰ类","6487.94";"Ⅱ类","9039.5";"Ⅲ类","12750.88"},2,0)</f>
        <v>9039.5</v>
      </c>
      <c r="U19" s="109"/>
      <c r="V19" s="113">
        <v>1.35</v>
      </c>
      <c r="W19" s="109" t="s">
        <v>194</v>
      </c>
      <c r="X19" s="114">
        <v>0</v>
      </c>
      <c r="Y19" s="110"/>
      <c r="Z19" s="125">
        <f t="shared" si="1"/>
        <v>-9039.5</v>
      </c>
      <c r="AA19" s="125">
        <f t="shared" si="2"/>
        <v>-1.35</v>
      </c>
      <c r="AB19" s="125">
        <f t="shared" si="3"/>
        <v>0</v>
      </c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</row>
    <row r="20" spans="1:42" s="79" customFormat="1" ht="22.5" customHeight="1" x14ac:dyDescent="0.15">
      <c r="A20" s="71">
        <v>16</v>
      </c>
      <c r="B20" s="205"/>
      <c r="C20" s="71" t="s">
        <v>71</v>
      </c>
      <c r="D20" s="71"/>
      <c r="E20" s="71" t="s">
        <v>68</v>
      </c>
      <c r="F20" s="135" t="s">
        <v>62</v>
      </c>
      <c r="G20" s="134" t="s">
        <v>66</v>
      </c>
      <c r="H20" s="71"/>
      <c r="I20" s="71"/>
      <c r="J20" s="71"/>
      <c r="K20" s="72">
        <f t="shared" si="0"/>
        <v>0</v>
      </c>
      <c r="L20" s="134"/>
      <c r="M20" s="72" t="s">
        <v>63</v>
      </c>
      <c r="N20" s="73">
        <f t="shared" si="6"/>
        <v>0</v>
      </c>
      <c r="O20" s="204"/>
      <c r="P20" s="100"/>
      <c r="Q20" s="112"/>
      <c r="R20" s="132"/>
      <c r="S20" s="109"/>
      <c r="T20" s="113" t="str">
        <f>VLOOKUP(E20,{"Ⅰ类","1570.81";"Ⅱ类","2290.69";"Ⅲ类","3010.6"},2,0)</f>
        <v>2290.69</v>
      </c>
      <c r="U20" s="109"/>
      <c r="V20" s="113">
        <v>1</v>
      </c>
      <c r="W20" s="109"/>
      <c r="X20" s="114">
        <v>0</v>
      </c>
      <c r="Y20" s="115"/>
      <c r="Z20" s="125">
        <f t="shared" si="1"/>
        <v>-2290.69</v>
      </c>
      <c r="AA20" s="125">
        <f t="shared" si="2"/>
        <v>-1</v>
      </c>
      <c r="AB20" s="125">
        <f t="shared" si="3"/>
        <v>0</v>
      </c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</row>
    <row r="21" spans="1:42" s="79" customFormat="1" ht="22.5" customHeight="1" x14ac:dyDescent="0.15">
      <c r="A21" s="71">
        <v>17</v>
      </c>
      <c r="B21" s="205"/>
      <c r="C21" s="71" t="s">
        <v>72</v>
      </c>
      <c r="D21" s="71"/>
      <c r="E21" s="71" t="s">
        <v>68</v>
      </c>
      <c r="F21" s="135" t="s">
        <v>62</v>
      </c>
      <c r="G21" s="134" t="s">
        <v>66</v>
      </c>
      <c r="H21" s="71"/>
      <c r="I21" s="71"/>
      <c r="J21" s="71"/>
      <c r="K21" s="72">
        <f t="shared" si="0"/>
        <v>0</v>
      </c>
      <c r="L21" s="134"/>
      <c r="M21" s="72" t="s">
        <v>63</v>
      </c>
      <c r="N21" s="73">
        <f t="shared" si="6"/>
        <v>0</v>
      </c>
      <c r="O21" s="204"/>
      <c r="P21" s="100"/>
      <c r="Q21" s="112"/>
      <c r="R21" s="132"/>
      <c r="S21" s="109"/>
      <c r="T21" s="113" t="str">
        <f>VLOOKUP(E21,{"Ⅰ类","1437.18";"Ⅱ类","1727.65";"Ⅲ类","2018.11"},2,0)</f>
        <v>1727.65</v>
      </c>
      <c r="U21" s="109"/>
      <c r="V21" s="113">
        <v>1</v>
      </c>
      <c r="W21" s="109"/>
      <c r="X21" s="114">
        <v>0</v>
      </c>
      <c r="Y21" s="109"/>
      <c r="Z21" s="125">
        <f t="shared" si="1"/>
        <v>-1727.65</v>
      </c>
      <c r="AA21" s="125">
        <f t="shared" si="2"/>
        <v>-1</v>
      </c>
      <c r="AB21" s="125">
        <f t="shared" si="3"/>
        <v>0</v>
      </c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</row>
    <row r="22" spans="1:42" s="79" customFormat="1" ht="43.15" customHeight="1" x14ac:dyDescent="0.15">
      <c r="A22" s="71">
        <v>18</v>
      </c>
      <c r="B22" s="65" t="s">
        <v>177</v>
      </c>
      <c r="C22" s="71" t="s">
        <v>122</v>
      </c>
      <c r="D22" s="71"/>
      <c r="E22" s="71" t="s">
        <v>68</v>
      </c>
      <c r="F22" s="135" t="s">
        <v>73</v>
      </c>
      <c r="G22" s="134" t="s">
        <v>66</v>
      </c>
      <c r="H22" s="71"/>
      <c r="I22" s="71">
        <v>2</v>
      </c>
      <c r="J22" s="71"/>
      <c r="K22" s="72">
        <f t="shared" si="0"/>
        <v>0</v>
      </c>
      <c r="L22" s="134"/>
      <c r="M22" s="72" t="s">
        <v>63</v>
      </c>
      <c r="N22" s="73">
        <f t="shared" si="6"/>
        <v>0</v>
      </c>
      <c r="O22" s="81" t="s">
        <v>155</v>
      </c>
      <c r="P22" s="100"/>
      <c r="Q22" s="112"/>
      <c r="R22" s="132"/>
      <c r="S22" s="109"/>
      <c r="T22" s="113" t="str">
        <f>IF(F22="1:50000",VLOOKUP(E22,{"Ⅰ类","3645.35";"Ⅱ类","4983.36";"Ⅲ类","7533.19"},2,0),VLOOKUP(E22,{"Ⅰ类","1991.38";"Ⅱ类","2742.11";"Ⅲ类","3517.45"},2,0))</f>
        <v>4983.36</v>
      </c>
      <c r="U22" s="110" t="s">
        <v>191</v>
      </c>
      <c r="V22" s="113">
        <v>1</v>
      </c>
      <c r="W22" s="109"/>
      <c r="X22" s="114">
        <v>0</v>
      </c>
      <c r="Y22" s="110" t="s">
        <v>225</v>
      </c>
      <c r="Z22" s="125">
        <f t="shared" si="1"/>
        <v>-4983.3599999999997</v>
      </c>
      <c r="AA22" s="125">
        <f t="shared" si="2"/>
        <v>-1</v>
      </c>
      <c r="AB22" s="125">
        <f t="shared" si="3"/>
        <v>0</v>
      </c>
      <c r="AC22" s="132"/>
      <c r="AD22" s="132"/>
      <c r="AE22" s="132"/>
      <c r="AF22" s="132"/>
      <c r="AG22" s="132"/>
      <c r="AH22" s="132"/>
      <c r="AI22" s="132"/>
      <c r="AJ22" s="132"/>
      <c r="AK22" s="132"/>
      <c r="AL22" s="132"/>
      <c r="AM22" s="132"/>
      <c r="AN22" s="132"/>
      <c r="AO22" s="132"/>
      <c r="AP22" s="132"/>
    </row>
    <row r="23" spans="1:42" s="79" customFormat="1" ht="22.5" customHeight="1" x14ac:dyDescent="0.15">
      <c r="A23" s="71">
        <v>19</v>
      </c>
      <c r="B23" s="205" t="s">
        <v>128</v>
      </c>
      <c r="C23" s="71" t="s">
        <v>74</v>
      </c>
      <c r="D23" s="71"/>
      <c r="E23" s="71" t="s">
        <v>46</v>
      </c>
      <c r="F23" s="135" t="s">
        <v>62</v>
      </c>
      <c r="G23" s="134" t="s">
        <v>146</v>
      </c>
      <c r="H23" s="71"/>
      <c r="I23" s="75"/>
      <c r="J23" s="71"/>
      <c r="K23" s="72">
        <f t="shared" si="0"/>
        <v>0</v>
      </c>
      <c r="L23" s="134"/>
      <c r="M23" s="72">
        <f t="shared" ref="M23:M26" si="7">K23*L23</f>
        <v>0</v>
      </c>
      <c r="N23" s="73">
        <f t="shared" ref="N23:N26" si="8">K23+M23</f>
        <v>0</v>
      </c>
      <c r="O23" s="204" t="s">
        <v>127</v>
      </c>
      <c r="P23" s="100" t="s">
        <v>196</v>
      </c>
      <c r="Q23" s="112"/>
      <c r="R23" s="132"/>
      <c r="S23" s="109"/>
      <c r="T23" s="113" t="str">
        <f>VLOOKUP(E23,{"简单","6676";"中等","8901";"复杂","14244"},2,0)</f>
        <v>8901</v>
      </c>
      <c r="U23" s="111" t="s">
        <v>195</v>
      </c>
      <c r="V23" s="113">
        <v>1.8</v>
      </c>
      <c r="W23" s="110"/>
      <c r="X23" s="114">
        <v>0.22</v>
      </c>
      <c r="Y23" s="109"/>
      <c r="Z23" s="125">
        <f t="shared" si="1"/>
        <v>-8901</v>
      </c>
      <c r="AA23" s="125">
        <f t="shared" si="2"/>
        <v>-1.8</v>
      </c>
      <c r="AB23" s="125">
        <f t="shared" si="3"/>
        <v>-0.22</v>
      </c>
      <c r="AC23" s="132"/>
      <c r="AD23" s="132"/>
      <c r="AE23" s="132"/>
      <c r="AF23" s="132"/>
      <c r="AG23" s="132"/>
      <c r="AH23" s="132"/>
      <c r="AI23" s="132"/>
      <c r="AJ23" s="132"/>
      <c r="AK23" s="132"/>
      <c r="AL23" s="132"/>
      <c r="AM23" s="132"/>
      <c r="AN23" s="132"/>
      <c r="AO23" s="132"/>
      <c r="AP23" s="132"/>
    </row>
    <row r="24" spans="1:42" s="79" customFormat="1" ht="22.9" customHeight="1" x14ac:dyDescent="0.15">
      <c r="A24" s="71">
        <v>20</v>
      </c>
      <c r="B24" s="205"/>
      <c r="C24" s="71" t="s">
        <v>74</v>
      </c>
      <c r="D24" s="71"/>
      <c r="E24" s="71" t="s">
        <v>50</v>
      </c>
      <c r="F24" s="135" t="s">
        <v>62</v>
      </c>
      <c r="G24" s="134" t="s">
        <v>146</v>
      </c>
      <c r="H24" s="71"/>
      <c r="I24" s="71">
        <v>2.7040000000000002</v>
      </c>
      <c r="J24" s="71"/>
      <c r="K24" s="72">
        <f t="shared" si="0"/>
        <v>0</v>
      </c>
      <c r="L24" s="134"/>
      <c r="M24" s="72">
        <f t="shared" si="7"/>
        <v>0</v>
      </c>
      <c r="N24" s="73">
        <f t="shared" si="8"/>
        <v>0</v>
      </c>
      <c r="O24" s="204"/>
      <c r="P24" s="100" t="s">
        <v>166</v>
      </c>
      <c r="Q24" s="112"/>
      <c r="R24" s="132"/>
      <c r="S24" s="109"/>
      <c r="T24" s="113" t="str">
        <f>VLOOKUP(E24,{"简单","6676";"中等","8901";"复杂","14244"},2,0)</f>
        <v>14244</v>
      </c>
      <c r="U24" s="109"/>
      <c r="V24" s="113">
        <v>1.8</v>
      </c>
      <c r="W24" s="110" t="s">
        <v>180</v>
      </c>
      <c r="X24" s="114">
        <v>0.22</v>
      </c>
      <c r="Y24" s="109"/>
      <c r="Z24" s="125">
        <f t="shared" si="1"/>
        <v>-14244</v>
      </c>
      <c r="AA24" s="125">
        <f t="shared" si="2"/>
        <v>-1.8</v>
      </c>
      <c r="AB24" s="125">
        <f t="shared" si="3"/>
        <v>-0.22</v>
      </c>
      <c r="AC24" s="132"/>
      <c r="AD24" s="132"/>
      <c r="AE24" s="132"/>
      <c r="AF24" s="132"/>
      <c r="AG24" s="132"/>
      <c r="AH24" s="132"/>
      <c r="AI24" s="132"/>
      <c r="AJ24" s="132"/>
      <c r="AK24" s="132"/>
      <c r="AL24" s="132"/>
      <c r="AM24" s="132"/>
      <c r="AN24" s="132"/>
      <c r="AO24" s="132"/>
      <c r="AP24" s="132"/>
    </row>
    <row r="25" spans="1:42" s="79" customFormat="1" ht="60" x14ac:dyDescent="0.15">
      <c r="A25" s="71">
        <v>21</v>
      </c>
      <c r="B25" s="205"/>
      <c r="C25" s="71" t="s">
        <v>76</v>
      </c>
      <c r="D25" s="71"/>
      <c r="E25" s="71" t="s">
        <v>46</v>
      </c>
      <c r="F25" s="135" t="s">
        <v>77</v>
      </c>
      <c r="G25" s="134" t="s">
        <v>146</v>
      </c>
      <c r="H25" s="71"/>
      <c r="I25" s="71"/>
      <c r="J25" s="71"/>
      <c r="K25" s="72">
        <f t="shared" si="0"/>
        <v>0</v>
      </c>
      <c r="L25" s="134"/>
      <c r="M25" s="72">
        <f t="shared" si="7"/>
        <v>0</v>
      </c>
      <c r="N25" s="73">
        <f t="shared" si="8"/>
        <v>0</v>
      </c>
      <c r="O25" s="204"/>
      <c r="P25" s="100" t="s">
        <v>123</v>
      </c>
      <c r="Q25" s="112"/>
      <c r="R25" s="132"/>
      <c r="S25" s="109"/>
      <c r="T25" s="113" t="str">
        <f>VLOOKUP(E25,{"简单","33383";"中等","44510";"复杂","71216"},2,0)</f>
        <v>44510</v>
      </c>
      <c r="U25" s="109"/>
      <c r="V25" s="113">
        <v>1.8</v>
      </c>
      <c r="W25" s="110" t="s">
        <v>197</v>
      </c>
      <c r="X25" s="114">
        <v>0.22</v>
      </c>
      <c r="Y25" s="109"/>
      <c r="Z25" s="125">
        <f t="shared" si="1"/>
        <v>-44510</v>
      </c>
      <c r="AA25" s="125">
        <f t="shared" si="2"/>
        <v>-1.8</v>
      </c>
      <c r="AB25" s="125">
        <f t="shared" si="3"/>
        <v>-0.22</v>
      </c>
      <c r="AC25" s="132"/>
      <c r="AD25" s="132"/>
      <c r="AE25" s="132"/>
      <c r="AF25" s="132"/>
      <c r="AG25" s="132"/>
      <c r="AH25" s="132"/>
      <c r="AI25" s="132"/>
      <c r="AJ25" s="132"/>
      <c r="AK25" s="132"/>
      <c r="AL25" s="132"/>
      <c r="AM25" s="132"/>
      <c r="AN25" s="132"/>
      <c r="AO25" s="132"/>
      <c r="AP25" s="132"/>
    </row>
    <row r="26" spans="1:42" s="79" customFormat="1" ht="22.9" customHeight="1" x14ac:dyDescent="0.15">
      <c r="A26" s="71">
        <v>22</v>
      </c>
      <c r="B26" s="205"/>
      <c r="C26" s="71" t="s">
        <v>76</v>
      </c>
      <c r="D26" s="71"/>
      <c r="E26" s="71" t="s">
        <v>50</v>
      </c>
      <c r="F26" s="135" t="s">
        <v>77</v>
      </c>
      <c r="G26" s="134" t="s">
        <v>146</v>
      </c>
      <c r="H26" s="71"/>
      <c r="I26" s="71">
        <v>0.4</v>
      </c>
      <c r="J26" s="71"/>
      <c r="K26" s="72">
        <f t="shared" si="0"/>
        <v>0</v>
      </c>
      <c r="L26" s="134"/>
      <c r="M26" s="72">
        <f t="shared" si="7"/>
        <v>0</v>
      </c>
      <c r="N26" s="73">
        <f t="shared" si="8"/>
        <v>0</v>
      </c>
      <c r="O26" s="204"/>
      <c r="P26" s="100" t="s">
        <v>123</v>
      </c>
      <c r="Q26" s="112"/>
      <c r="R26" s="132"/>
      <c r="S26" s="109"/>
      <c r="T26" s="113" t="str">
        <f>VLOOKUP(E26,{"简单","33383";"中等","44510";"复杂","71216"},2,0)</f>
        <v>71216</v>
      </c>
      <c r="U26" s="115"/>
      <c r="V26" s="113">
        <v>1.8</v>
      </c>
      <c r="W26" s="111"/>
      <c r="X26" s="114">
        <v>0.22</v>
      </c>
      <c r="Y26" s="111"/>
      <c r="Z26" s="125">
        <f t="shared" si="1"/>
        <v>-71216</v>
      </c>
      <c r="AA26" s="125">
        <f t="shared" si="2"/>
        <v>-1.8</v>
      </c>
      <c r="AB26" s="125">
        <f t="shared" si="3"/>
        <v>-0.22</v>
      </c>
      <c r="AC26" s="132"/>
      <c r="AD26" s="132"/>
      <c r="AE26" s="132"/>
      <c r="AF26" s="132"/>
      <c r="AG26" s="132"/>
      <c r="AH26" s="132"/>
      <c r="AI26" s="132"/>
      <c r="AJ26" s="132"/>
      <c r="AK26" s="132"/>
      <c r="AL26" s="132"/>
      <c r="AM26" s="132"/>
      <c r="AN26" s="132"/>
      <c r="AO26" s="132"/>
      <c r="AP26" s="132"/>
    </row>
    <row r="27" spans="1:42" s="79" customFormat="1" ht="22.9" customHeight="1" x14ac:dyDescent="0.15">
      <c r="A27" s="71">
        <v>23</v>
      </c>
      <c r="B27" s="205"/>
      <c r="C27" s="71" t="s">
        <v>246</v>
      </c>
      <c r="D27" s="71"/>
      <c r="E27" s="71" t="s">
        <v>50</v>
      </c>
      <c r="F27" s="135" t="s">
        <v>78</v>
      </c>
      <c r="G27" s="134" t="s">
        <v>146</v>
      </c>
      <c r="H27" s="71"/>
      <c r="I27" s="71">
        <v>0.63200000000000001</v>
      </c>
      <c r="J27" s="71"/>
      <c r="K27" s="72">
        <f t="shared" si="0"/>
        <v>0</v>
      </c>
      <c r="L27" s="134"/>
      <c r="M27" s="72">
        <f t="shared" ref="M27:M28" si="9">K27*L27</f>
        <v>0</v>
      </c>
      <c r="N27" s="73">
        <f t="shared" ref="N27:N28" si="10">K27+M27</f>
        <v>0</v>
      </c>
      <c r="O27" s="204"/>
      <c r="P27" s="100" t="s">
        <v>79</v>
      </c>
      <c r="Q27" s="112"/>
      <c r="R27" s="132"/>
      <c r="S27" s="109"/>
      <c r="T27" s="113" t="str">
        <f>VLOOKUP(E27,{"简单","15174";"中等","20232";"复杂","32374"},2,0)</f>
        <v>32374</v>
      </c>
      <c r="U27" s="109"/>
      <c r="V27" s="113">
        <v>1.5</v>
      </c>
      <c r="W27" s="109"/>
      <c r="X27" s="114">
        <v>0.22</v>
      </c>
      <c r="Y27" s="109"/>
      <c r="Z27" s="125">
        <f t="shared" si="1"/>
        <v>-32374</v>
      </c>
      <c r="AA27" s="125">
        <f t="shared" si="2"/>
        <v>-1.5</v>
      </c>
      <c r="AB27" s="125">
        <f t="shared" si="3"/>
        <v>-0.22</v>
      </c>
      <c r="AC27" s="132"/>
      <c r="AD27" s="132"/>
      <c r="AE27" s="132"/>
      <c r="AF27" s="132"/>
      <c r="AG27" s="132"/>
      <c r="AH27" s="132"/>
      <c r="AI27" s="132"/>
      <c r="AJ27" s="132"/>
      <c r="AK27" s="132"/>
      <c r="AL27" s="132"/>
      <c r="AM27" s="132"/>
      <c r="AN27" s="132"/>
      <c r="AO27" s="132"/>
      <c r="AP27" s="132"/>
    </row>
    <row r="28" spans="1:42" s="79" customFormat="1" ht="22.9" customHeight="1" x14ac:dyDescent="0.15">
      <c r="A28" s="71">
        <v>24</v>
      </c>
      <c r="B28" s="205"/>
      <c r="C28" s="71" t="s">
        <v>247</v>
      </c>
      <c r="D28" s="71"/>
      <c r="E28" s="71" t="s">
        <v>50</v>
      </c>
      <c r="F28" s="135" t="s">
        <v>78</v>
      </c>
      <c r="G28" s="134" t="s">
        <v>146</v>
      </c>
      <c r="H28" s="71"/>
      <c r="I28" s="71">
        <v>0.28000000000000003</v>
      </c>
      <c r="J28" s="71"/>
      <c r="K28" s="72">
        <f t="shared" si="0"/>
        <v>0</v>
      </c>
      <c r="L28" s="134"/>
      <c r="M28" s="72">
        <f t="shared" si="9"/>
        <v>0</v>
      </c>
      <c r="N28" s="73">
        <f t="shared" si="10"/>
        <v>0</v>
      </c>
      <c r="O28" s="81" t="s">
        <v>80</v>
      </c>
      <c r="P28" s="100" t="s">
        <v>79</v>
      </c>
      <c r="Q28" s="112"/>
      <c r="R28" s="132"/>
      <c r="S28" s="109"/>
      <c r="T28" s="113" t="str">
        <f>VLOOKUP(E28,{"简单","40464";"中等","53817";"复杂","75680"},2,0)</f>
        <v>75680</v>
      </c>
      <c r="U28" s="109"/>
      <c r="V28" s="113">
        <v>1.5</v>
      </c>
      <c r="W28" s="109"/>
      <c r="X28" s="114">
        <v>0.22</v>
      </c>
      <c r="Y28" s="109"/>
      <c r="Z28" s="125">
        <f t="shared" si="1"/>
        <v>-75680</v>
      </c>
      <c r="AA28" s="125">
        <f t="shared" si="2"/>
        <v>-1.5</v>
      </c>
      <c r="AB28" s="125">
        <f t="shared" si="3"/>
        <v>-0.22</v>
      </c>
      <c r="AC28" s="132"/>
      <c r="AD28" s="132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2"/>
    </row>
    <row r="29" spans="1:42" s="89" customFormat="1" ht="22.5" customHeight="1" x14ac:dyDescent="0.15">
      <c r="A29" s="63" t="s">
        <v>242</v>
      </c>
      <c r="B29" s="201" t="s">
        <v>243</v>
      </c>
      <c r="C29" s="202"/>
      <c r="D29" s="202"/>
      <c r="E29" s="202"/>
      <c r="F29" s="202"/>
      <c r="G29" s="202"/>
      <c r="H29" s="202"/>
      <c r="I29" s="202"/>
      <c r="J29" s="203"/>
      <c r="K29" s="162">
        <f>SUM(K5:K28)</f>
        <v>0</v>
      </c>
      <c r="L29" s="163"/>
      <c r="M29" s="162">
        <f>SUM(M5:M28)</f>
        <v>0</v>
      </c>
      <c r="N29" s="162">
        <f>SUM(N5:N28)</f>
        <v>0</v>
      </c>
      <c r="O29" s="145"/>
      <c r="P29" s="164"/>
      <c r="Q29" s="165"/>
      <c r="R29" s="170"/>
      <c r="S29" s="167"/>
      <c r="T29" s="166"/>
      <c r="U29" s="167"/>
      <c r="V29" s="167"/>
      <c r="W29" s="167"/>
      <c r="X29" s="168"/>
      <c r="Y29" s="167"/>
      <c r="Z29" s="169">
        <f t="shared" si="1"/>
        <v>0</v>
      </c>
      <c r="AA29" s="169">
        <f t="shared" si="2"/>
        <v>0</v>
      </c>
      <c r="AB29" s="169">
        <f t="shared" si="3"/>
        <v>0</v>
      </c>
      <c r="AC29" s="170"/>
      <c r="AD29" s="170"/>
      <c r="AE29" s="170"/>
      <c r="AF29" s="170"/>
      <c r="AG29" s="170"/>
      <c r="AH29" s="170"/>
      <c r="AI29" s="170"/>
      <c r="AJ29" s="170"/>
      <c r="AK29" s="170"/>
      <c r="AL29" s="170"/>
      <c r="AM29" s="170"/>
      <c r="AN29" s="170"/>
      <c r="AO29" s="170"/>
      <c r="AP29" s="170"/>
    </row>
    <row r="30" spans="1:42" s="79" customFormat="1" ht="22.5" customHeight="1" x14ac:dyDescent="0.15">
      <c r="B30" s="89"/>
      <c r="F30" s="82"/>
      <c r="I30" s="83"/>
      <c r="K30" s="84"/>
      <c r="L30" s="84"/>
      <c r="M30" s="84"/>
      <c r="N30" s="84"/>
      <c r="P30" s="101"/>
      <c r="Q30" s="101"/>
      <c r="R30" s="99"/>
      <c r="S30" s="104"/>
      <c r="U30" s="104"/>
      <c r="W30" s="118" t="s">
        <v>227</v>
      </c>
      <c r="X30" s="84"/>
      <c r="Y30" s="104"/>
      <c r="Z30" s="96"/>
      <c r="AA30" s="96"/>
      <c r="AB30" s="96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</row>
    <row r="31" spans="1:42" s="79" customFormat="1" ht="22.5" customHeight="1" x14ac:dyDescent="0.15">
      <c r="B31" s="89"/>
      <c r="F31" s="82"/>
      <c r="I31" s="83"/>
      <c r="K31" s="84"/>
      <c r="L31" s="84"/>
      <c r="M31" s="84"/>
      <c r="N31" s="84"/>
      <c r="P31" s="101"/>
      <c r="Q31" s="101"/>
      <c r="R31" s="99"/>
      <c r="S31" s="104"/>
      <c r="U31" s="104"/>
      <c r="W31" s="104"/>
      <c r="X31" s="84"/>
      <c r="Y31" s="104"/>
      <c r="Z31" s="96"/>
      <c r="AA31" s="96"/>
      <c r="AB31" s="96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99"/>
    </row>
    <row r="32" spans="1:42" s="79" customFormat="1" ht="22.5" customHeight="1" x14ac:dyDescent="0.15">
      <c r="B32" s="89"/>
      <c r="F32" s="82"/>
      <c r="H32" s="101"/>
      <c r="I32" s="83"/>
      <c r="K32" s="101"/>
      <c r="L32" s="101"/>
      <c r="M32" s="101"/>
      <c r="N32" s="84"/>
      <c r="P32" s="101"/>
      <c r="Q32" s="101"/>
      <c r="S32" s="104"/>
      <c r="T32" s="102"/>
      <c r="U32" s="102"/>
      <c r="V32" s="106" t="s">
        <v>160</v>
      </c>
      <c r="W32" s="104"/>
      <c r="X32" s="106" t="s">
        <v>163</v>
      </c>
      <c r="Y32" s="104"/>
      <c r="Z32" s="96"/>
      <c r="AA32" s="96"/>
      <c r="AB32" s="96"/>
      <c r="AD32" s="99"/>
      <c r="AE32" s="99"/>
      <c r="AF32" s="99"/>
      <c r="AG32" s="99"/>
      <c r="AH32" s="99"/>
      <c r="AI32" s="99"/>
      <c r="AJ32" s="99"/>
      <c r="AK32" s="99"/>
      <c r="AM32" s="99"/>
      <c r="AN32" s="99"/>
      <c r="AO32" s="99"/>
      <c r="AP32" s="99"/>
    </row>
    <row r="33" spans="8:28" ht="22.5" customHeight="1" x14ac:dyDescent="0.15">
      <c r="H33" s="101"/>
      <c r="K33" s="101"/>
      <c r="L33" s="101"/>
      <c r="M33" s="101"/>
      <c r="N33" s="84"/>
      <c r="O33" s="79"/>
      <c r="T33" s="102"/>
      <c r="U33" s="102"/>
      <c r="V33" s="106" t="s">
        <v>167</v>
      </c>
      <c r="X33" s="106" t="s">
        <v>178</v>
      </c>
      <c r="Y33" s="104"/>
      <c r="Z33" s="96"/>
      <c r="AA33" s="96"/>
      <c r="AB33" s="96"/>
    </row>
    <row r="34" spans="8:28" ht="22.5" customHeight="1" x14ac:dyDescent="0.15">
      <c r="H34" s="101"/>
      <c r="K34" s="101"/>
      <c r="L34" s="101"/>
      <c r="M34" s="101"/>
      <c r="N34" s="84"/>
      <c r="O34" s="79"/>
      <c r="T34" s="102"/>
      <c r="U34" s="102"/>
      <c r="V34" s="106" t="s">
        <v>168</v>
      </c>
      <c r="X34" s="106"/>
      <c r="Y34" s="104"/>
      <c r="Z34" s="96"/>
      <c r="AA34" s="96"/>
      <c r="AB34" s="96"/>
    </row>
    <row r="35" spans="8:28" ht="22.5" customHeight="1" x14ac:dyDescent="0.15">
      <c r="H35" s="101"/>
      <c r="K35" s="101"/>
      <c r="L35" s="101"/>
      <c r="M35" s="101"/>
      <c r="N35" s="84"/>
      <c r="O35" s="79"/>
      <c r="T35" s="102"/>
      <c r="U35" s="102"/>
      <c r="V35" s="106"/>
      <c r="X35" s="106"/>
      <c r="Y35" s="104"/>
      <c r="Z35" s="96"/>
      <c r="AA35" s="96"/>
      <c r="AB35" s="96"/>
    </row>
    <row r="36" spans="8:28" ht="22.5" customHeight="1" x14ac:dyDescent="0.15">
      <c r="H36" s="101"/>
      <c r="K36" s="101"/>
      <c r="L36" s="101"/>
      <c r="M36" s="101"/>
      <c r="N36" s="84"/>
      <c r="O36" s="79"/>
      <c r="T36" s="102"/>
      <c r="U36" s="102"/>
      <c r="V36" s="106"/>
      <c r="X36" s="106"/>
      <c r="Z36" s="96"/>
      <c r="AA36" s="96"/>
      <c r="AB36" s="96"/>
    </row>
    <row r="37" spans="8:28" ht="22.5" customHeight="1" x14ac:dyDescent="0.15">
      <c r="H37" s="101"/>
      <c r="K37" s="101"/>
      <c r="L37" s="101"/>
      <c r="M37" s="101"/>
      <c r="N37" s="84"/>
      <c r="O37" s="79"/>
      <c r="T37" s="102"/>
      <c r="U37" s="102"/>
      <c r="V37" s="106"/>
      <c r="X37" s="106"/>
      <c r="Z37" s="96"/>
      <c r="AA37" s="96"/>
      <c r="AB37" s="96"/>
    </row>
    <row r="38" spans="8:28" ht="22.5" customHeight="1" x14ac:dyDescent="0.15">
      <c r="H38" s="101"/>
      <c r="K38" s="101"/>
      <c r="L38" s="101"/>
      <c r="M38" s="101"/>
      <c r="N38" s="84"/>
      <c r="O38" s="79"/>
      <c r="T38" s="102"/>
      <c r="U38" s="102"/>
      <c r="V38" s="106"/>
      <c r="X38" s="106"/>
      <c r="Z38" s="96"/>
      <c r="AA38" s="96"/>
      <c r="AB38" s="96"/>
    </row>
    <row r="39" spans="8:28" ht="22.5" customHeight="1" x14ac:dyDescent="0.15">
      <c r="H39" s="101"/>
      <c r="K39" s="101"/>
      <c r="L39" s="101"/>
      <c r="M39" s="101"/>
      <c r="N39" s="84"/>
      <c r="O39" s="79"/>
      <c r="T39" s="102"/>
      <c r="U39" s="102"/>
      <c r="V39" s="106" t="s">
        <v>165</v>
      </c>
      <c r="X39" s="106" t="s">
        <v>175</v>
      </c>
      <c r="Z39" s="96"/>
      <c r="AA39" s="96"/>
      <c r="AB39" s="96"/>
    </row>
    <row r="40" spans="8:28" ht="22.5" customHeight="1" x14ac:dyDescent="0.15">
      <c r="H40" s="101"/>
      <c r="K40" s="101"/>
      <c r="L40" s="101"/>
      <c r="M40" s="101"/>
      <c r="N40" s="84"/>
      <c r="O40" s="79"/>
      <c r="T40" s="79"/>
      <c r="X40" s="84"/>
      <c r="Z40" s="96"/>
      <c r="AA40" s="96"/>
      <c r="AB40" s="96"/>
    </row>
    <row r="41" spans="8:28" ht="22.5" customHeight="1" x14ac:dyDescent="0.15">
      <c r="H41" s="79"/>
      <c r="K41" s="84"/>
      <c r="L41" s="84"/>
      <c r="M41" s="84"/>
      <c r="N41" s="84"/>
      <c r="O41" s="79"/>
      <c r="T41" s="79"/>
      <c r="X41" s="84"/>
      <c r="Z41" s="96"/>
      <c r="AA41" s="96"/>
      <c r="AB41" s="96"/>
    </row>
    <row r="42" spans="8:28" ht="22.5" customHeight="1" x14ac:dyDescent="0.15">
      <c r="Z42" s="96"/>
      <c r="AA42" s="96"/>
      <c r="AB42" s="96"/>
    </row>
    <row r="43" spans="8:28" ht="22.5" customHeight="1" x14ac:dyDescent="0.15">
      <c r="Z43" s="96"/>
      <c r="AA43" s="96"/>
      <c r="AB43" s="96"/>
    </row>
    <row r="44" spans="8:28" ht="22.5" customHeight="1" x14ac:dyDescent="0.15">
      <c r="Z44" s="96"/>
      <c r="AA44" s="96"/>
      <c r="AB44" s="96"/>
    </row>
    <row r="45" spans="8:28" ht="22.5" customHeight="1" x14ac:dyDescent="0.15">
      <c r="Z45" s="96"/>
      <c r="AA45" s="96"/>
      <c r="AB45" s="96"/>
    </row>
    <row r="46" spans="8:28" ht="22.5" customHeight="1" x14ac:dyDescent="0.15">
      <c r="Z46" s="96"/>
      <c r="AA46" s="96"/>
      <c r="AB46" s="96"/>
    </row>
    <row r="47" spans="8:28" ht="22.5" customHeight="1" x14ac:dyDescent="0.15">
      <c r="Z47" s="96"/>
      <c r="AA47" s="96"/>
      <c r="AB47" s="96"/>
    </row>
    <row r="48" spans="8:28" ht="22.5" customHeight="1" x14ac:dyDescent="0.15">
      <c r="Z48" s="96"/>
      <c r="AA48" s="96"/>
      <c r="AB48" s="96"/>
    </row>
    <row r="49" spans="26:28" ht="22.5" customHeight="1" x14ac:dyDescent="0.15">
      <c r="Z49" s="96"/>
      <c r="AA49" s="96"/>
      <c r="AB49" s="96"/>
    </row>
    <row r="50" spans="26:28" ht="22.5" customHeight="1" x14ac:dyDescent="0.15">
      <c r="Z50" s="96"/>
      <c r="AA50" s="96"/>
      <c r="AB50" s="96"/>
    </row>
    <row r="51" spans="26:28" ht="22.5" customHeight="1" x14ac:dyDescent="0.15">
      <c r="Z51" s="96"/>
      <c r="AA51" s="96"/>
      <c r="AB51" s="96"/>
    </row>
    <row r="52" spans="26:28" ht="22.5" customHeight="1" x14ac:dyDescent="0.15">
      <c r="Z52" s="96"/>
      <c r="AA52" s="96"/>
      <c r="AB52" s="96"/>
    </row>
    <row r="53" spans="26:28" ht="22.5" customHeight="1" x14ac:dyDescent="0.15">
      <c r="Z53" s="96"/>
      <c r="AA53" s="96"/>
      <c r="AB53" s="96"/>
    </row>
    <row r="54" spans="26:28" ht="22.5" customHeight="1" x14ac:dyDescent="0.15">
      <c r="Z54" s="96"/>
      <c r="AA54" s="96"/>
      <c r="AB54" s="96"/>
    </row>
    <row r="55" spans="26:28" ht="22.5" customHeight="1" x14ac:dyDescent="0.15">
      <c r="Z55" s="96"/>
      <c r="AA55" s="96"/>
      <c r="AB55" s="96"/>
    </row>
    <row r="56" spans="26:28" ht="22.5" customHeight="1" x14ac:dyDescent="0.15">
      <c r="Z56" s="96"/>
      <c r="AA56" s="96"/>
      <c r="AB56" s="96"/>
    </row>
    <row r="57" spans="26:28" ht="22.5" customHeight="1" x14ac:dyDescent="0.15">
      <c r="Z57" s="96"/>
      <c r="AA57" s="96"/>
      <c r="AB57" s="96"/>
    </row>
    <row r="58" spans="26:28" ht="22.5" customHeight="1" x14ac:dyDescent="0.15">
      <c r="Z58" s="96"/>
      <c r="AA58" s="96"/>
      <c r="AB58" s="96"/>
    </row>
    <row r="59" spans="26:28" ht="22.5" customHeight="1" x14ac:dyDescent="0.15">
      <c r="Z59" s="96"/>
      <c r="AA59" s="96"/>
      <c r="AB59" s="96"/>
    </row>
    <row r="60" spans="26:28" ht="22.5" customHeight="1" x14ac:dyDescent="0.15">
      <c r="Z60" s="96"/>
      <c r="AA60" s="96"/>
      <c r="AB60" s="96"/>
    </row>
    <row r="61" spans="26:28" ht="22.5" customHeight="1" x14ac:dyDescent="0.15">
      <c r="Z61" s="96"/>
      <c r="AA61" s="96"/>
      <c r="AB61" s="96"/>
    </row>
    <row r="62" spans="26:28" ht="22.5" customHeight="1" x14ac:dyDescent="0.15">
      <c r="Z62" s="96"/>
      <c r="AA62" s="96"/>
      <c r="AB62" s="96"/>
    </row>
    <row r="63" spans="26:28" ht="22.5" customHeight="1" x14ac:dyDescent="0.15">
      <c r="Z63" s="96"/>
      <c r="AA63" s="96"/>
      <c r="AB63" s="96"/>
    </row>
    <row r="64" spans="26:28" ht="22.5" customHeight="1" x14ac:dyDescent="0.15">
      <c r="Z64" s="96"/>
      <c r="AA64" s="96"/>
      <c r="AB64" s="96"/>
    </row>
    <row r="65" spans="26:28" ht="22.5" customHeight="1" x14ac:dyDescent="0.15">
      <c r="Z65" s="96"/>
      <c r="AA65" s="96"/>
      <c r="AB65" s="96"/>
    </row>
    <row r="66" spans="26:28" ht="22.5" customHeight="1" x14ac:dyDescent="0.15">
      <c r="Z66" s="96"/>
      <c r="AA66" s="96"/>
      <c r="AB66" s="96"/>
    </row>
    <row r="67" spans="26:28" ht="22.5" customHeight="1" x14ac:dyDescent="0.15">
      <c r="Z67" s="96"/>
      <c r="AA67" s="96"/>
      <c r="AB67" s="96"/>
    </row>
    <row r="68" spans="26:28" ht="22.5" customHeight="1" x14ac:dyDescent="0.15">
      <c r="Z68" s="96"/>
      <c r="AA68" s="96"/>
      <c r="AB68" s="96"/>
    </row>
    <row r="69" spans="26:28" ht="22.5" customHeight="1" x14ac:dyDescent="0.15">
      <c r="Z69" s="96"/>
      <c r="AA69" s="96"/>
      <c r="AB69" s="96"/>
    </row>
    <row r="70" spans="26:28" ht="22.5" customHeight="1" x14ac:dyDescent="0.15">
      <c r="Z70" s="96"/>
      <c r="AA70" s="96"/>
      <c r="AB70" s="96"/>
    </row>
    <row r="71" spans="26:28" ht="22.5" customHeight="1" x14ac:dyDescent="0.15">
      <c r="Z71" s="96"/>
      <c r="AA71" s="96"/>
      <c r="AB71" s="96"/>
    </row>
    <row r="72" spans="26:28" ht="22.5" customHeight="1" x14ac:dyDescent="0.15">
      <c r="Z72" s="96"/>
      <c r="AA72" s="96"/>
      <c r="AB72" s="96"/>
    </row>
    <row r="73" spans="26:28" ht="22.5" customHeight="1" x14ac:dyDescent="0.15">
      <c r="Z73" s="96"/>
      <c r="AA73" s="96"/>
      <c r="AB73" s="96"/>
    </row>
    <row r="74" spans="26:28" ht="22.5" customHeight="1" x14ac:dyDescent="0.15">
      <c r="Z74" s="96"/>
      <c r="AA74" s="96"/>
      <c r="AB74" s="96"/>
    </row>
    <row r="75" spans="26:28" ht="22.5" customHeight="1" x14ac:dyDescent="0.15">
      <c r="Z75" s="96"/>
      <c r="AA75" s="96"/>
      <c r="AB75" s="96"/>
    </row>
    <row r="76" spans="26:28" ht="22.5" customHeight="1" x14ac:dyDescent="0.15">
      <c r="Z76" s="96"/>
      <c r="AA76" s="96"/>
      <c r="AB76" s="96"/>
    </row>
    <row r="77" spans="26:28" ht="22.5" customHeight="1" x14ac:dyDescent="0.15">
      <c r="Z77" s="96"/>
      <c r="AA77" s="96"/>
      <c r="AB77" s="96"/>
    </row>
    <row r="78" spans="26:28" ht="22.5" customHeight="1" x14ac:dyDescent="0.15">
      <c r="Z78" s="96"/>
      <c r="AA78" s="96"/>
      <c r="AB78" s="96"/>
    </row>
    <row r="79" spans="26:28" ht="22.5" customHeight="1" x14ac:dyDescent="0.15">
      <c r="Z79" s="96"/>
      <c r="AA79" s="96"/>
      <c r="AB79" s="96"/>
    </row>
    <row r="80" spans="26:28" ht="22.5" customHeight="1" x14ac:dyDescent="0.15">
      <c r="Z80" s="96"/>
      <c r="AA80" s="96"/>
      <c r="AB80" s="96"/>
    </row>
    <row r="81" spans="26:28" ht="22.5" customHeight="1" x14ac:dyDescent="0.15">
      <c r="Z81" s="96"/>
      <c r="AA81" s="96"/>
      <c r="AB81" s="96"/>
    </row>
    <row r="82" spans="26:28" ht="22.5" customHeight="1" x14ac:dyDescent="0.15">
      <c r="Z82" s="96"/>
      <c r="AA82" s="96"/>
      <c r="AB82" s="96"/>
    </row>
    <row r="83" spans="26:28" ht="22.5" customHeight="1" x14ac:dyDescent="0.15">
      <c r="Z83" s="96"/>
      <c r="AA83" s="96"/>
      <c r="AB83" s="96"/>
    </row>
    <row r="84" spans="26:28" ht="22.5" customHeight="1" x14ac:dyDescent="0.15">
      <c r="Z84" s="96"/>
      <c r="AA84" s="96"/>
      <c r="AB84" s="96"/>
    </row>
    <row r="85" spans="26:28" ht="22.5" customHeight="1" x14ac:dyDescent="0.15">
      <c r="Z85" s="96"/>
      <c r="AA85" s="96"/>
      <c r="AB85" s="96"/>
    </row>
    <row r="86" spans="26:28" ht="22.5" customHeight="1" x14ac:dyDescent="0.15">
      <c r="Z86" s="96"/>
      <c r="AA86" s="96"/>
      <c r="AB86" s="96"/>
    </row>
    <row r="87" spans="26:28" ht="22.5" customHeight="1" x14ac:dyDescent="0.15">
      <c r="Z87" s="96"/>
      <c r="AA87" s="96"/>
      <c r="AB87" s="96"/>
    </row>
    <row r="88" spans="26:28" ht="22.5" customHeight="1" x14ac:dyDescent="0.15">
      <c r="Z88" s="96"/>
      <c r="AA88" s="96"/>
      <c r="AB88" s="96"/>
    </row>
    <row r="89" spans="26:28" ht="22.5" customHeight="1" x14ac:dyDescent="0.15">
      <c r="Z89" s="96"/>
      <c r="AA89" s="96"/>
      <c r="AB89" s="96"/>
    </row>
    <row r="90" spans="26:28" ht="22.5" customHeight="1" x14ac:dyDescent="0.15">
      <c r="Z90" s="96"/>
      <c r="AA90" s="96"/>
      <c r="AB90" s="96"/>
    </row>
    <row r="91" spans="26:28" ht="22.5" customHeight="1" x14ac:dyDescent="0.15">
      <c r="Z91" s="96"/>
      <c r="AA91" s="96"/>
      <c r="AB91" s="96"/>
    </row>
    <row r="92" spans="26:28" ht="22.5" customHeight="1" x14ac:dyDescent="0.15">
      <c r="Z92" s="96"/>
      <c r="AA92" s="96"/>
      <c r="AB92" s="96"/>
    </row>
    <row r="93" spans="26:28" ht="22.5" customHeight="1" x14ac:dyDescent="0.15">
      <c r="Z93" s="96"/>
      <c r="AA93" s="96"/>
      <c r="AB93" s="96"/>
    </row>
    <row r="94" spans="26:28" ht="22.5" customHeight="1" x14ac:dyDescent="0.15">
      <c r="Z94" s="96"/>
      <c r="AA94" s="96"/>
      <c r="AB94" s="96"/>
    </row>
    <row r="95" spans="26:28" ht="22.5" customHeight="1" x14ac:dyDescent="0.15">
      <c r="Z95" s="96"/>
      <c r="AA95" s="96"/>
      <c r="AB95" s="96"/>
    </row>
    <row r="96" spans="26:28" ht="22.5" customHeight="1" x14ac:dyDescent="0.15">
      <c r="Z96" s="96"/>
      <c r="AA96" s="96"/>
      <c r="AB96" s="96"/>
    </row>
    <row r="97" spans="26:28" ht="22.5" customHeight="1" x14ac:dyDescent="0.15">
      <c r="Z97" s="96"/>
      <c r="AA97" s="96"/>
      <c r="AB97" s="96"/>
    </row>
    <row r="98" spans="26:28" ht="22.5" customHeight="1" x14ac:dyDescent="0.15">
      <c r="Z98" s="96"/>
      <c r="AA98" s="96"/>
      <c r="AB98" s="96"/>
    </row>
    <row r="99" spans="26:28" ht="22.5" customHeight="1" x14ac:dyDescent="0.15">
      <c r="Z99" s="96"/>
      <c r="AA99" s="96"/>
      <c r="AB99" s="96"/>
    </row>
    <row r="100" spans="26:28" ht="22.5" customHeight="1" x14ac:dyDescent="0.15">
      <c r="Z100" s="96"/>
      <c r="AA100" s="96"/>
      <c r="AB100" s="96"/>
    </row>
    <row r="101" spans="26:28" ht="22.5" customHeight="1" x14ac:dyDescent="0.15">
      <c r="Z101" s="96"/>
      <c r="AA101" s="96"/>
      <c r="AB101" s="96"/>
    </row>
    <row r="102" spans="26:28" ht="22.5" customHeight="1" x14ac:dyDescent="0.15">
      <c r="Z102" s="96"/>
      <c r="AA102" s="96"/>
      <c r="AB102" s="96"/>
    </row>
    <row r="103" spans="26:28" ht="22.5" customHeight="1" x14ac:dyDescent="0.15">
      <c r="Z103" s="96"/>
      <c r="AA103" s="96"/>
      <c r="AB103" s="96"/>
    </row>
    <row r="104" spans="26:28" ht="22.5" customHeight="1" x14ac:dyDescent="0.15">
      <c r="Z104" s="96"/>
      <c r="AA104" s="96"/>
      <c r="AB104" s="96"/>
    </row>
    <row r="105" spans="26:28" ht="22.5" customHeight="1" x14ac:dyDescent="0.15">
      <c r="Z105" s="96"/>
      <c r="AA105" s="96"/>
      <c r="AB105" s="96"/>
    </row>
    <row r="106" spans="26:28" ht="22.5" customHeight="1" x14ac:dyDescent="0.15">
      <c r="Z106" s="96"/>
      <c r="AA106" s="96"/>
      <c r="AB106" s="96"/>
    </row>
    <row r="107" spans="26:28" ht="22.5" customHeight="1" x14ac:dyDescent="0.15">
      <c r="Z107" s="96"/>
      <c r="AA107" s="96"/>
      <c r="AB107" s="96"/>
    </row>
    <row r="108" spans="26:28" ht="22.5" customHeight="1" x14ac:dyDescent="0.15">
      <c r="Z108" s="96"/>
      <c r="AA108" s="96"/>
      <c r="AB108" s="96"/>
    </row>
    <row r="109" spans="26:28" ht="22.5" customHeight="1" x14ac:dyDescent="0.15">
      <c r="Z109" s="96"/>
      <c r="AA109" s="96"/>
      <c r="AB109" s="96"/>
    </row>
    <row r="110" spans="26:28" ht="22.5" customHeight="1" x14ac:dyDescent="0.15">
      <c r="Z110" s="96"/>
      <c r="AA110" s="96"/>
      <c r="AB110" s="96"/>
    </row>
    <row r="111" spans="26:28" ht="22.5" customHeight="1" x14ac:dyDescent="0.15">
      <c r="Z111" s="96"/>
      <c r="AA111" s="96"/>
      <c r="AB111" s="96"/>
    </row>
    <row r="112" spans="26:28" ht="22.5" customHeight="1" x14ac:dyDescent="0.15">
      <c r="Z112" s="96"/>
      <c r="AA112" s="96"/>
      <c r="AB112" s="96"/>
    </row>
    <row r="113" spans="26:28" ht="22.5" customHeight="1" x14ac:dyDescent="0.15">
      <c r="Z113" s="96"/>
      <c r="AA113" s="96"/>
      <c r="AB113" s="96"/>
    </row>
    <row r="114" spans="26:28" ht="22.5" customHeight="1" x14ac:dyDescent="0.15">
      <c r="Z114" s="96"/>
      <c r="AA114" s="96"/>
      <c r="AB114" s="96"/>
    </row>
    <row r="115" spans="26:28" ht="22.5" customHeight="1" x14ac:dyDescent="0.15">
      <c r="Z115" s="96"/>
      <c r="AA115" s="96"/>
      <c r="AB115" s="96"/>
    </row>
    <row r="116" spans="26:28" ht="22.5" customHeight="1" x14ac:dyDescent="0.15">
      <c r="Z116" s="96"/>
      <c r="AA116" s="96"/>
      <c r="AB116" s="96"/>
    </row>
    <row r="117" spans="26:28" ht="22.5" customHeight="1" x14ac:dyDescent="0.15">
      <c r="Z117" s="96"/>
      <c r="AA117" s="96"/>
      <c r="AB117" s="96"/>
    </row>
    <row r="118" spans="26:28" ht="22.5" customHeight="1" x14ac:dyDescent="0.15">
      <c r="Z118" s="96"/>
      <c r="AA118" s="96"/>
      <c r="AB118" s="96"/>
    </row>
    <row r="119" spans="26:28" ht="22.5" customHeight="1" x14ac:dyDescent="0.15">
      <c r="Z119" s="96"/>
      <c r="AA119" s="96"/>
      <c r="AB119" s="96"/>
    </row>
    <row r="120" spans="26:28" ht="22.5" customHeight="1" x14ac:dyDescent="0.15">
      <c r="Z120" s="96"/>
      <c r="AA120" s="96"/>
      <c r="AB120" s="96"/>
    </row>
    <row r="121" spans="26:28" ht="22.5" customHeight="1" x14ac:dyDescent="0.15">
      <c r="Z121" s="96"/>
      <c r="AA121" s="96"/>
      <c r="AB121" s="96"/>
    </row>
    <row r="122" spans="26:28" ht="22.5" customHeight="1" x14ac:dyDescent="0.15">
      <c r="Z122" s="96"/>
      <c r="AA122" s="96"/>
      <c r="AB122" s="96"/>
    </row>
    <row r="123" spans="26:28" ht="22.5" customHeight="1" x14ac:dyDescent="0.15">
      <c r="Z123" s="96"/>
      <c r="AA123" s="96"/>
      <c r="AB123" s="96"/>
    </row>
    <row r="124" spans="26:28" ht="22.5" customHeight="1" x14ac:dyDescent="0.15">
      <c r="Z124" s="96"/>
      <c r="AA124" s="96"/>
      <c r="AB124" s="96"/>
    </row>
    <row r="125" spans="26:28" ht="22.5" customHeight="1" x14ac:dyDescent="0.15">
      <c r="Z125" s="96"/>
      <c r="AA125" s="96"/>
      <c r="AB125" s="96"/>
    </row>
    <row r="126" spans="26:28" ht="22.5" customHeight="1" x14ac:dyDescent="0.15">
      <c r="Z126" s="96"/>
      <c r="AA126" s="96"/>
      <c r="AB126" s="96"/>
    </row>
    <row r="127" spans="26:28" ht="22.5" customHeight="1" x14ac:dyDescent="0.15">
      <c r="Z127" s="96"/>
      <c r="AA127" s="96"/>
      <c r="AB127" s="96"/>
    </row>
    <row r="128" spans="26:28" ht="22.5" customHeight="1" x14ac:dyDescent="0.15">
      <c r="Z128" s="96"/>
      <c r="AA128" s="96"/>
      <c r="AB128" s="96"/>
    </row>
    <row r="129" spans="26:28" ht="22.5" customHeight="1" x14ac:dyDescent="0.15">
      <c r="Z129" s="96"/>
      <c r="AA129" s="96"/>
      <c r="AB129" s="96"/>
    </row>
    <row r="130" spans="26:28" ht="22.5" customHeight="1" x14ac:dyDescent="0.15">
      <c r="Z130" s="96"/>
      <c r="AA130" s="96"/>
      <c r="AB130" s="96"/>
    </row>
    <row r="131" spans="26:28" ht="22.5" customHeight="1" x14ac:dyDescent="0.15">
      <c r="Z131" s="96"/>
      <c r="AA131" s="96"/>
      <c r="AB131" s="96"/>
    </row>
    <row r="132" spans="26:28" ht="22.5" customHeight="1" x14ac:dyDescent="0.15">
      <c r="Z132" s="96"/>
      <c r="AA132" s="96"/>
      <c r="AB132" s="96"/>
    </row>
    <row r="133" spans="26:28" ht="22.5" customHeight="1" x14ac:dyDescent="0.15">
      <c r="Z133" s="96"/>
      <c r="AA133" s="96"/>
      <c r="AB133" s="96"/>
    </row>
    <row r="134" spans="26:28" ht="22.5" customHeight="1" x14ac:dyDescent="0.15">
      <c r="Z134" s="96"/>
      <c r="AA134" s="96"/>
      <c r="AB134" s="96"/>
    </row>
    <row r="135" spans="26:28" ht="22.5" customHeight="1" x14ac:dyDescent="0.15">
      <c r="Z135" s="96"/>
      <c r="AA135" s="96"/>
      <c r="AB135" s="96"/>
    </row>
    <row r="136" spans="26:28" ht="22.5" customHeight="1" x14ac:dyDescent="0.15">
      <c r="Z136" s="96"/>
      <c r="AA136" s="96"/>
      <c r="AB136" s="96"/>
    </row>
    <row r="137" spans="26:28" ht="22.5" customHeight="1" x14ac:dyDescent="0.15">
      <c r="Z137" s="96"/>
      <c r="AA137" s="96"/>
      <c r="AB137" s="96"/>
    </row>
    <row r="138" spans="26:28" ht="22.5" customHeight="1" x14ac:dyDescent="0.15">
      <c r="Z138" s="96"/>
      <c r="AA138" s="96"/>
      <c r="AB138" s="96"/>
    </row>
    <row r="139" spans="26:28" ht="22.5" customHeight="1" x14ac:dyDescent="0.15">
      <c r="Z139" s="96"/>
      <c r="AA139" s="96"/>
      <c r="AB139" s="96"/>
    </row>
    <row r="140" spans="26:28" ht="22.5" customHeight="1" x14ac:dyDescent="0.15">
      <c r="Z140" s="96"/>
      <c r="AA140" s="96"/>
      <c r="AB140" s="96"/>
    </row>
    <row r="141" spans="26:28" ht="22.5" customHeight="1" x14ac:dyDescent="0.15">
      <c r="Z141" s="96"/>
      <c r="AA141" s="96"/>
      <c r="AB141" s="96"/>
    </row>
    <row r="142" spans="26:28" ht="22.5" customHeight="1" x14ac:dyDescent="0.15">
      <c r="Z142" s="96"/>
      <c r="AA142" s="96"/>
      <c r="AB142" s="96"/>
    </row>
    <row r="143" spans="26:28" ht="22.5" customHeight="1" x14ac:dyDescent="0.15">
      <c r="Z143" s="96"/>
      <c r="AA143" s="96"/>
      <c r="AB143" s="96"/>
    </row>
    <row r="144" spans="26:28" ht="22.5" customHeight="1" x14ac:dyDescent="0.15">
      <c r="Z144" s="96"/>
      <c r="AA144" s="96"/>
      <c r="AB144" s="96"/>
    </row>
    <row r="145" spans="26:28" ht="22.5" customHeight="1" x14ac:dyDescent="0.15">
      <c r="Z145" s="96"/>
      <c r="AA145" s="96"/>
      <c r="AB145" s="96"/>
    </row>
    <row r="146" spans="26:28" ht="22.5" customHeight="1" x14ac:dyDescent="0.15">
      <c r="Z146" s="96"/>
      <c r="AA146" s="96"/>
      <c r="AB146" s="96"/>
    </row>
    <row r="147" spans="26:28" ht="22.5" customHeight="1" x14ac:dyDescent="0.15">
      <c r="Z147" s="96"/>
      <c r="AA147" s="96"/>
      <c r="AB147" s="96"/>
    </row>
    <row r="148" spans="26:28" ht="22.5" customHeight="1" x14ac:dyDescent="0.15">
      <c r="Z148" s="96"/>
      <c r="AA148" s="96"/>
      <c r="AB148" s="96"/>
    </row>
    <row r="149" spans="26:28" ht="22.5" customHeight="1" x14ac:dyDescent="0.15">
      <c r="Z149" s="96"/>
      <c r="AA149" s="96"/>
      <c r="AB149" s="96"/>
    </row>
    <row r="150" spans="26:28" ht="22.5" customHeight="1" x14ac:dyDescent="0.15">
      <c r="Z150" s="96"/>
      <c r="AA150" s="96"/>
      <c r="AB150" s="96"/>
    </row>
    <row r="151" spans="26:28" ht="22.5" customHeight="1" x14ac:dyDescent="0.15">
      <c r="Z151" s="96"/>
      <c r="AA151" s="96"/>
      <c r="AB151" s="96"/>
    </row>
    <row r="152" spans="26:28" ht="22.5" customHeight="1" x14ac:dyDescent="0.15">
      <c r="Z152" s="96"/>
      <c r="AA152" s="96"/>
      <c r="AB152" s="96"/>
    </row>
    <row r="153" spans="26:28" ht="22.5" customHeight="1" x14ac:dyDescent="0.15">
      <c r="Z153" s="96"/>
      <c r="AA153" s="96"/>
      <c r="AB153" s="96"/>
    </row>
    <row r="154" spans="26:28" ht="22.5" customHeight="1" x14ac:dyDescent="0.15">
      <c r="Z154" s="96"/>
      <c r="AA154" s="96"/>
      <c r="AB154" s="96"/>
    </row>
    <row r="155" spans="26:28" ht="22.5" customHeight="1" x14ac:dyDescent="0.15">
      <c r="Z155" s="96"/>
      <c r="AA155" s="96"/>
      <c r="AB155" s="96"/>
    </row>
    <row r="156" spans="26:28" ht="22.5" customHeight="1" x14ac:dyDescent="0.15">
      <c r="Z156" s="96"/>
      <c r="AA156" s="96"/>
      <c r="AB156" s="96"/>
    </row>
    <row r="157" spans="26:28" ht="22.5" customHeight="1" x14ac:dyDescent="0.15">
      <c r="Z157" s="96"/>
      <c r="AA157" s="96"/>
      <c r="AB157" s="96"/>
    </row>
    <row r="158" spans="26:28" ht="22.5" customHeight="1" x14ac:dyDescent="0.15">
      <c r="Z158" s="96"/>
      <c r="AA158" s="96"/>
      <c r="AB158" s="96"/>
    </row>
    <row r="159" spans="26:28" ht="22.5" customHeight="1" x14ac:dyDescent="0.15">
      <c r="Z159" s="96"/>
      <c r="AA159" s="96"/>
      <c r="AB159" s="96"/>
    </row>
    <row r="160" spans="26:28" ht="22.5" customHeight="1" x14ac:dyDescent="0.15">
      <c r="Z160" s="96"/>
      <c r="AA160" s="96"/>
      <c r="AB160" s="96"/>
    </row>
    <row r="161" spans="26:28" ht="22.5" customHeight="1" x14ac:dyDescent="0.15">
      <c r="Z161" s="96"/>
      <c r="AA161" s="96"/>
      <c r="AB161" s="96"/>
    </row>
    <row r="162" spans="26:28" ht="22.5" customHeight="1" x14ac:dyDescent="0.15">
      <c r="Z162" s="96"/>
      <c r="AA162" s="96"/>
      <c r="AB162" s="96"/>
    </row>
    <row r="163" spans="26:28" ht="22.5" customHeight="1" x14ac:dyDescent="0.15">
      <c r="Z163" s="96"/>
      <c r="AA163" s="96"/>
      <c r="AB163" s="96"/>
    </row>
    <row r="164" spans="26:28" ht="22.5" customHeight="1" x14ac:dyDescent="0.15">
      <c r="Z164" s="96"/>
      <c r="AA164" s="96"/>
      <c r="AB164" s="96"/>
    </row>
    <row r="165" spans="26:28" ht="22.5" customHeight="1" x14ac:dyDescent="0.15">
      <c r="Z165" s="96"/>
      <c r="AA165" s="96"/>
      <c r="AB165" s="96"/>
    </row>
    <row r="166" spans="26:28" ht="22.5" customHeight="1" x14ac:dyDescent="0.15">
      <c r="Z166" s="96"/>
      <c r="AA166" s="96"/>
      <c r="AB166" s="96"/>
    </row>
    <row r="167" spans="26:28" ht="22.5" customHeight="1" x14ac:dyDescent="0.15">
      <c r="Z167" s="96"/>
      <c r="AA167" s="96"/>
      <c r="AB167" s="96"/>
    </row>
    <row r="168" spans="26:28" ht="22.5" customHeight="1" x14ac:dyDescent="0.15">
      <c r="Z168" s="96"/>
      <c r="AA168" s="96"/>
      <c r="AB168" s="96"/>
    </row>
    <row r="169" spans="26:28" ht="22.5" customHeight="1" x14ac:dyDescent="0.15">
      <c r="Z169" s="96"/>
      <c r="AA169" s="96"/>
      <c r="AB169" s="96"/>
    </row>
    <row r="170" spans="26:28" ht="22.5" customHeight="1" x14ac:dyDescent="0.15">
      <c r="Z170" s="96"/>
      <c r="AA170" s="96"/>
      <c r="AB170" s="96"/>
    </row>
    <row r="171" spans="26:28" ht="22.5" customHeight="1" x14ac:dyDescent="0.15">
      <c r="Z171" s="96"/>
      <c r="AA171" s="96"/>
      <c r="AB171" s="96"/>
    </row>
    <row r="172" spans="26:28" ht="22.5" customHeight="1" x14ac:dyDescent="0.15">
      <c r="Z172" s="96"/>
      <c r="AA172" s="96"/>
      <c r="AB172" s="96"/>
    </row>
    <row r="173" spans="26:28" ht="22.5" customHeight="1" x14ac:dyDescent="0.15">
      <c r="Z173" s="96"/>
      <c r="AA173" s="96"/>
      <c r="AB173" s="96"/>
    </row>
    <row r="174" spans="26:28" ht="22.5" customHeight="1" x14ac:dyDescent="0.15">
      <c r="Z174" s="96"/>
      <c r="AA174" s="96"/>
      <c r="AB174" s="96"/>
    </row>
    <row r="175" spans="26:28" ht="22.5" customHeight="1" x14ac:dyDescent="0.15">
      <c r="Z175" s="96"/>
      <c r="AA175" s="96"/>
      <c r="AB175" s="96"/>
    </row>
    <row r="176" spans="26:28" ht="22.5" customHeight="1" x14ac:dyDescent="0.15">
      <c r="Z176" s="96"/>
      <c r="AA176" s="96"/>
      <c r="AB176" s="96"/>
    </row>
    <row r="177" spans="26:28" ht="22.5" customHeight="1" x14ac:dyDescent="0.15">
      <c r="Z177" s="96"/>
      <c r="AA177" s="96"/>
      <c r="AB177" s="96"/>
    </row>
    <row r="178" spans="26:28" ht="22.5" customHeight="1" x14ac:dyDescent="0.15">
      <c r="Z178" s="96"/>
      <c r="AA178" s="96"/>
      <c r="AB178" s="96"/>
    </row>
    <row r="179" spans="26:28" ht="22.5" customHeight="1" x14ac:dyDescent="0.15">
      <c r="Z179" s="96"/>
      <c r="AA179" s="96"/>
      <c r="AB179" s="96"/>
    </row>
    <row r="180" spans="26:28" ht="22.5" customHeight="1" x14ac:dyDescent="0.15">
      <c r="Z180" s="96"/>
      <c r="AA180" s="96"/>
      <c r="AB180" s="96"/>
    </row>
    <row r="181" spans="26:28" ht="22.5" customHeight="1" x14ac:dyDescent="0.15">
      <c r="Z181" s="96"/>
      <c r="AA181" s="96"/>
      <c r="AB181" s="96"/>
    </row>
    <row r="182" spans="26:28" ht="22.5" customHeight="1" x14ac:dyDescent="0.15">
      <c r="Z182" s="96"/>
      <c r="AA182" s="96"/>
      <c r="AB182" s="96"/>
    </row>
    <row r="183" spans="26:28" ht="22.5" customHeight="1" x14ac:dyDescent="0.15">
      <c r="Z183" s="96"/>
      <c r="AA183" s="96"/>
      <c r="AB183" s="96"/>
    </row>
    <row r="184" spans="26:28" ht="22.5" customHeight="1" x14ac:dyDescent="0.15">
      <c r="Z184" s="96"/>
      <c r="AA184" s="96"/>
      <c r="AB184" s="96"/>
    </row>
    <row r="185" spans="26:28" ht="22.5" customHeight="1" x14ac:dyDescent="0.15">
      <c r="Z185" s="96"/>
      <c r="AA185" s="96"/>
      <c r="AB185" s="96"/>
    </row>
    <row r="186" spans="26:28" ht="22.5" customHeight="1" x14ac:dyDescent="0.15">
      <c r="Z186" s="96"/>
      <c r="AA186" s="96"/>
      <c r="AB186" s="96"/>
    </row>
    <row r="187" spans="26:28" ht="22.5" customHeight="1" x14ac:dyDescent="0.15">
      <c r="Z187" s="96"/>
      <c r="AA187" s="96"/>
      <c r="AB187" s="96"/>
    </row>
    <row r="188" spans="26:28" ht="22.5" customHeight="1" x14ac:dyDescent="0.15">
      <c r="Z188" s="96"/>
      <c r="AA188" s="96"/>
      <c r="AB188" s="96"/>
    </row>
    <row r="189" spans="26:28" ht="22.5" customHeight="1" x14ac:dyDescent="0.15">
      <c r="Z189" s="95"/>
      <c r="AA189" s="95"/>
      <c r="AB189" s="95"/>
    </row>
    <row r="190" spans="26:28" ht="22.5" customHeight="1" x14ac:dyDescent="0.15">
      <c r="Z190" s="95"/>
      <c r="AA190" s="95"/>
      <c r="AB190" s="95"/>
    </row>
  </sheetData>
  <autoFilter ref="A3:AP30" xr:uid="{00000000-0001-0000-0200-000000000000}"/>
  <mergeCells count="14">
    <mergeCell ref="A2:A3"/>
    <mergeCell ref="B5:B15"/>
    <mergeCell ref="B16:B21"/>
    <mergeCell ref="B23:B28"/>
    <mergeCell ref="B29:J29"/>
    <mergeCell ref="P2:P3"/>
    <mergeCell ref="B2:G2"/>
    <mergeCell ref="H2:K2"/>
    <mergeCell ref="L2:M2"/>
    <mergeCell ref="N2:N3"/>
    <mergeCell ref="O2:O3"/>
    <mergeCell ref="O5:O15"/>
    <mergeCell ref="O16:O21"/>
    <mergeCell ref="O23:O27"/>
  </mergeCells>
  <phoneticPr fontId="9" type="noConversion"/>
  <conditionalFormatting sqref="Z1:AB1048576">
    <cfRule type="cellIs" dxfId="2" priority="1" operator="equal">
      <formula>0</formula>
    </cfRule>
  </conditionalFormatting>
  <dataValidations count="4">
    <dataValidation type="list" allowBlank="1" showInputMessage="1" showErrorMessage="1" sqref="D11:E11" xr:uid="{00000000-0002-0000-0200-000000000000}">
      <formula1>"GPS测量C级,GPS测量D级,GPS测量E级,三角（边）"</formula1>
    </dataValidation>
    <dataValidation type="list" allowBlank="1" showInputMessage="1" showErrorMessage="1" sqref="F22" xr:uid="{00000000-0002-0000-0200-000001000000}">
      <formula1>"1:10000,1:50000"</formula1>
    </dataValidation>
    <dataValidation type="list" allowBlank="1" showInputMessage="1" showErrorMessage="1" sqref="D5:E10 D12:E15" xr:uid="{00000000-0002-0000-0200-000003000000}">
      <formula1>"GPS测量C级,GPS测量D级,GPS测量E级,三角（边）一级"</formula1>
    </dataValidation>
    <dataValidation type="list" allowBlank="1" showInputMessage="1" showErrorMessage="1" sqref="D17:E28 F5:F15" xr:uid="{00000000-0002-0000-0200-000004000000}">
      <formula1>"Ⅰ类,Ⅱ类,Ⅲ类,简单,中等,复杂"</formula1>
    </dataValidation>
  </dataValidations>
  <printOptions horizontalCentered="1"/>
  <pageMargins left="0.78680555555555598" right="0.59027777777777801" top="0.78680555555555598" bottom="0.59027777777777801" header="0.5" footer="0.196527777777778"/>
  <pageSetup paperSize="9" orientation="landscape" r:id="rId1"/>
  <legacy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0.59999389629810485"/>
    <outlinePr summaryBelow="0" summaryRight="0"/>
  </sheetPr>
  <dimension ref="A1:AU205"/>
  <sheetViews>
    <sheetView zoomScale="85" zoomScaleNormal="85" workbookViewId="0">
      <pane xSplit="7" ySplit="3" topLeftCell="H4" activePane="bottomRight" state="frozen"/>
      <selection sqref="A1:R1"/>
      <selection pane="topRight" sqref="A1:R1"/>
      <selection pane="bottomLeft" sqref="A1:R1"/>
      <selection pane="bottomRight" activeCell="A12" sqref="A9:XFD12"/>
    </sheetView>
  </sheetViews>
  <sheetFormatPr defaultColWidth="9.875" defaultRowHeight="22.5" customHeight="1" outlineLevelRow="1" outlineLevelCol="2" x14ac:dyDescent="0.15"/>
  <cols>
    <col min="1" max="1" width="9.875" style="2"/>
    <col min="2" max="2" width="9.875" style="91"/>
    <col min="3" max="4" width="9.875" style="2"/>
    <col min="5" max="5" width="9.875" style="3"/>
    <col min="6" max="7" width="9.875" style="2"/>
    <col min="8" max="8" width="9.875" style="4"/>
    <col min="9" max="9" width="9.875" style="2" collapsed="1"/>
    <col min="10" max="11" width="9.875" style="2" hidden="1" customWidth="1" outlineLevel="1"/>
    <col min="12" max="12" width="9.875" style="2" hidden="1" customWidth="1" outlineLevel="1" collapsed="1"/>
    <col min="13" max="13" width="9.875" style="6" collapsed="1"/>
    <col min="14" max="14" width="9.875" style="7" hidden="1" customWidth="1" outlineLevel="1"/>
    <col min="15" max="15" width="9.875" style="2"/>
    <col min="16" max="16" width="9.875" style="8" collapsed="1"/>
    <col min="17" max="17" width="9.875" style="9" hidden="1" customWidth="1" outlineLevel="1"/>
    <col min="18" max="18" width="9.875" style="9"/>
    <col min="19" max="20" width="9.875" style="2"/>
    <col min="21" max="21" width="9.875" style="102"/>
    <col min="22" max="22" width="9.875" style="1" collapsed="1"/>
    <col min="23" max="23" width="9.875" style="140" hidden="1" customWidth="1" outlineLevel="2"/>
    <col min="24" max="24" width="9.875" style="64" hidden="1" customWidth="1" outlineLevel="1" collapsed="1"/>
    <col min="25" max="25" width="0" style="103" hidden="1" customWidth="1" outlineLevel="2"/>
    <col min="26" max="26" width="9.875" style="64" hidden="1" customWidth="1" outlineLevel="1" collapsed="1"/>
    <col min="27" max="27" width="0" style="103" hidden="1" customWidth="1" outlineLevel="2"/>
    <col min="28" max="28" width="9.875" style="78" hidden="1" customWidth="1" outlineLevel="1" collapsed="1"/>
    <col min="29" max="29" width="0" style="103" hidden="1" customWidth="1" outlineLevel="2"/>
    <col min="30" max="30" width="9.875" style="94" hidden="1" customWidth="1" outlineLevel="1" collapsed="1"/>
    <col min="31" max="32" width="0" style="94" hidden="1" customWidth="1" outlineLevel="2"/>
    <col min="33" max="35" width="0" style="97" hidden="1" customWidth="1" outlineLevel="2"/>
    <col min="36" max="36" width="9.875" style="97" hidden="1" customWidth="1" outlineLevel="1" collapsed="1"/>
    <col min="37" max="37" width="0" style="97" hidden="1" customWidth="1" outlineLevel="2"/>
    <col min="38" max="41" width="0" style="94" hidden="1" customWidth="1" outlineLevel="2"/>
    <col min="42" max="42" width="9.875" style="1" hidden="1" customWidth="1" outlineLevel="1"/>
    <col min="43" max="46" width="9.875" style="1" hidden="1" customWidth="1" outlineLevel="2"/>
    <col min="47" max="47" width="9.875" style="1" hidden="1" customWidth="1" outlineLevel="1"/>
    <col min="48" max="16384" width="9.875" style="1"/>
  </cols>
  <sheetData>
    <row r="1" spans="1:46" ht="36" customHeight="1" x14ac:dyDescent="0.3">
      <c r="A1" s="220" t="s">
        <v>142</v>
      </c>
      <c r="B1" s="221"/>
      <c r="C1" s="221"/>
      <c r="D1" s="221"/>
      <c r="E1" s="222"/>
      <c r="F1" s="221"/>
      <c r="G1" s="221"/>
      <c r="H1" s="223"/>
      <c r="I1" s="221"/>
      <c r="J1" s="224"/>
      <c r="K1" s="224"/>
      <c r="L1" s="224"/>
      <c r="M1" s="225"/>
      <c r="N1" s="226"/>
      <c r="O1" s="221"/>
      <c r="P1" s="227"/>
      <c r="Q1" s="228"/>
      <c r="R1" s="228"/>
      <c r="S1" s="229"/>
      <c r="T1" s="44"/>
      <c r="U1" s="92"/>
      <c r="X1" s="92"/>
      <c r="Z1" s="103"/>
      <c r="AB1" s="103"/>
      <c r="AG1" s="105"/>
      <c r="AH1" s="105"/>
      <c r="AI1" s="105"/>
      <c r="AJ1" s="105"/>
      <c r="AK1" s="105"/>
    </row>
    <row r="2" spans="1:46" ht="22.5" customHeight="1" x14ac:dyDescent="0.15">
      <c r="A2" s="192" t="s">
        <v>81</v>
      </c>
      <c r="B2" s="230" t="s">
        <v>21</v>
      </c>
      <c r="C2" s="230"/>
      <c r="D2" s="230"/>
      <c r="E2" s="230"/>
      <c r="F2" s="230"/>
      <c r="G2" s="230"/>
      <c r="H2" s="231" t="s">
        <v>158</v>
      </c>
      <c r="I2" s="192"/>
      <c r="J2" s="192"/>
      <c r="K2" s="192"/>
      <c r="L2" s="192"/>
      <c r="M2" s="192"/>
      <c r="N2" s="232"/>
      <c r="O2" s="192" t="s">
        <v>162</v>
      </c>
      <c r="P2" s="233"/>
      <c r="Q2" s="234"/>
      <c r="R2" s="32" t="s">
        <v>82</v>
      </c>
      <c r="S2" s="192" t="s">
        <v>24</v>
      </c>
      <c r="T2" s="215" t="s">
        <v>4</v>
      </c>
      <c r="U2" s="93"/>
      <c r="V2" s="139"/>
      <c r="W2" s="141"/>
      <c r="X2" s="107"/>
      <c r="Y2" s="107"/>
      <c r="Z2" s="107"/>
      <c r="AA2" s="107"/>
      <c r="AB2" s="107"/>
      <c r="AC2" s="107"/>
      <c r="AD2" s="122"/>
      <c r="AE2" s="126"/>
      <c r="AF2" s="126"/>
      <c r="AG2" s="127"/>
      <c r="AH2" s="127"/>
      <c r="AI2" s="127"/>
      <c r="AJ2" s="124"/>
      <c r="AK2" s="127"/>
      <c r="AL2" s="128"/>
      <c r="AM2" s="128"/>
      <c r="AN2" s="128"/>
      <c r="AO2" s="128"/>
      <c r="AP2" s="138"/>
      <c r="AQ2" s="132"/>
      <c r="AR2" s="132"/>
      <c r="AS2" s="132"/>
      <c r="AT2" s="132"/>
    </row>
    <row r="3" spans="1:46" ht="33" customHeight="1" x14ac:dyDescent="0.15">
      <c r="A3" s="212"/>
      <c r="B3" s="192" t="s">
        <v>2</v>
      </c>
      <c r="C3" s="192"/>
      <c r="D3" s="11" t="s">
        <v>43</v>
      </c>
      <c r="E3" s="16" t="s">
        <v>44</v>
      </c>
      <c r="F3" s="11" t="s">
        <v>83</v>
      </c>
      <c r="G3" s="11" t="s">
        <v>27</v>
      </c>
      <c r="H3" s="156" t="s">
        <v>244</v>
      </c>
      <c r="I3" s="157" t="s">
        <v>129</v>
      </c>
      <c r="J3" s="11" t="s">
        <v>240</v>
      </c>
      <c r="K3" s="11" t="s">
        <v>240</v>
      </c>
      <c r="L3" s="11" t="s">
        <v>84</v>
      </c>
      <c r="M3" s="158" t="s">
        <v>206</v>
      </c>
      <c r="N3" s="25" t="s">
        <v>13</v>
      </c>
      <c r="O3" s="11" t="s">
        <v>44</v>
      </c>
      <c r="P3" s="159" t="s">
        <v>200</v>
      </c>
      <c r="Q3" s="11" t="s">
        <v>13</v>
      </c>
      <c r="R3" s="32" t="s">
        <v>85</v>
      </c>
      <c r="S3" s="192"/>
      <c r="T3" s="216"/>
      <c r="U3" s="93">
        <v>0</v>
      </c>
      <c r="V3" s="139" t="s">
        <v>233</v>
      </c>
      <c r="W3" s="141" t="s">
        <v>234</v>
      </c>
      <c r="X3" s="107" t="s">
        <v>201</v>
      </c>
      <c r="Y3" s="107" t="s">
        <v>199</v>
      </c>
      <c r="Z3" s="107" t="s">
        <v>202</v>
      </c>
      <c r="AA3" s="107" t="s">
        <v>208</v>
      </c>
      <c r="AB3" s="107" t="s">
        <v>203</v>
      </c>
      <c r="AC3" s="107" t="s">
        <v>207</v>
      </c>
      <c r="AD3" s="122" t="s">
        <v>147</v>
      </c>
      <c r="AE3" s="126"/>
      <c r="AF3" s="126"/>
      <c r="AG3" s="127"/>
      <c r="AH3" s="127"/>
      <c r="AI3" s="127"/>
      <c r="AJ3" s="124" t="s">
        <v>149</v>
      </c>
      <c r="AK3" s="127"/>
      <c r="AL3" s="128"/>
      <c r="AM3" s="128"/>
      <c r="AN3" s="128"/>
      <c r="AO3" s="128"/>
      <c r="AP3" s="138" t="s">
        <v>228</v>
      </c>
      <c r="AQ3" s="138"/>
      <c r="AR3" s="138"/>
      <c r="AS3" s="138"/>
      <c r="AT3" s="138"/>
    </row>
    <row r="4" spans="1:46" ht="33" customHeight="1" outlineLevel="1" x14ac:dyDescent="0.15">
      <c r="A4" s="63" t="s">
        <v>139</v>
      </c>
      <c r="B4" s="63" t="s">
        <v>130</v>
      </c>
      <c r="C4" s="63" t="s">
        <v>132</v>
      </c>
      <c r="D4" s="63" t="s">
        <v>135</v>
      </c>
      <c r="E4" s="63" t="s">
        <v>133</v>
      </c>
      <c r="F4" s="63" t="s">
        <v>134</v>
      </c>
      <c r="G4" s="63" t="s">
        <v>131</v>
      </c>
      <c r="H4" s="68" t="s">
        <v>138</v>
      </c>
      <c r="I4" s="63" t="s">
        <v>237</v>
      </c>
      <c r="J4" s="63"/>
      <c r="K4" s="63"/>
      <c r="L4" s="63"/>
      <c r="M4" s="68" t="s">
        <v>136</v>
      </c>
      <c r="N4" s="63"/>
      <c r="O4" s="63" t="s">
        <v>210</v>
      </c>
      <c r="P4" s="68" t="s">
        <v>137</v>
      </c>
      <c r="Q4" s="63"/>
      <c r="R4" s="63"/>
      <c r="S4" s="63"/>
      <c r="T4" s="63"/>
      <c r="U4" s="119"/>
      <c r="V4" s="139" t="s">
        <v>235</v>
      </c>
      <c r="W4" s="141" t="s">
        <v>234</v>
      </c>
      <c r="X4" s="121" t="s">
        <v>204</v>
      </c>
      <c r="Y4" s="121" t="s">
        <v>204</v>
      </c>
      <c r="Z4" s="121" t="s">
        <v>204</v>
      </c>
      <c r="AA4" s="121" t="s">
        <v>204</v>
      </c>
      <c r="AB4" s="121" t="s">
        <v>204</v>
      </c>
      <c r="AC4" s="121" t="s">
        <v>204</v>
      </c>
      <c r="AD4" s="122" t="s">
        <v>147</v>
      </c>
      <c r="AE4" s="122" t="s">
        <v>147</v>
      </c>
      <c r="AF4" s="122" t="s">
        <v>147</v>
      </c>
      <c r="AG4" s="129" t="s">
        <v>218</v>
      </c>
      <c r="AH4" s="129" t="s">
        <v>216</v>
      </c>
      <c r="AI4" s="129" t="s">
        <v>217</v>
      </c>
      <c r="AJ4" s="124" t="s">
        <v>149</v>
      </c>
      <c r="AK4" s="124" t="s">
        <v>150</v>
      </c>
      <c r="AL4" s="124" t="s">
        <v>151</v>
      </c>
      <c r="AM4" s="124" t="s">
        <v>152</v>
      </c>
      <c r="AN4" s="124" t="s">
        <v>153</v>
      </c>
      <c r="AO4" s="124" t="s">
        <v>154</v>
      </c>
      <c r="AP4" s="138" t="s">
        <v>229</v>
      </c>
      <c r="AQ4" s="138" t="s">
        <v>230</v>
      </c>
      <c r="AR4" s="138" t="s">
        <v>230</v>
      </c>
      <c r="AS4" s="138" t="s">
        <v>231</v>
      </c>
      <c r="AT4" s="138" t="s">
        <v>232</v>
      </c>
    </row>
    <row r="5" spans="1:46" ht="132" x14ac:dyDescent="0.15">
      <c r="A5" s="12">
        <v>1</v>
      </c>
      <c r="B5" s="215" t="s">
        <v>126</v>
      </c>
      <c r="C5" s="218" t="s">
        <v>86</v>
      </c>
      <c r="D5" s="218" t="s">
        <v>87</v>
      </c>
      <c r="E5" s="42" t="s">
        <v>77</v>
      </c>
      <c r="F5" s="14" t="s">
        <v>46</v>
      </c>
      <c r="G5" s="14" t="s">
        <v>75</v>
      </c>
      <c r="H5" s="146"/>
      <c r="I5" s="17"/>
      <c r="J5" s="17"/>
      <c r="K5" s="17"/>
      <c r="L5" s="17"/>
      <c r="M5" s="147"/>
      <c r="N5" s="43">
        <f t="shared" ref="N5:N8" si="0">H5*I5*M5</f>
        <v>0</v>
      </c>
      <c r="O5" s="14" t="s">
        <v>88</v>
      </c>
      <c r="P5" s="38"/>
      <c r="Q5" s="148">
        <f t="shared" ref="Q5:Q8" si="1">N5*P5</f>
        <v>0</v>
      </c>
      <c r="R5" s="148">
        <f t="shared" ref="R5:R8" si="2">N5+Q5</f>
        <v>0</v>
      </c>
      <c r="S5" s="45" t="s">
        <v>89</v>
      </c>
      <c r="T5" s="45"/>
      <c r="U5" s="112"/>
      <c r="X5" s="113" t="str">
        <f>VLOOKUP($F5,{"简单","8033";"中等","11475";"复杂","17213"},2,0)</f>
        <v>11475</v>
      </c>
      <c r="Y5" s="130" t="s">
        <v>159</v>
      </c>
      <c r="Z5" s="113">
        <v>1</v>
      </c>
      <c r="AA5" s="108"/>
      <c r="AB5" s="114" t="str">
        <f>VLOOKUP($O5,{"甲级","1.2";"乙级","1.0";"丙级","0.8"},2,0)</f>
        <v>1.2</v>
      </c>
      <c r="AC5" s="108" t="s">
        <v>221</v>
      </c>
      <c r="AD5" s="125">
        <f t="shared" ref="AD5:AD9" si="3">H5+AG5-X5</f>
        <v>-11475</v>
      </c>
      <c r="AE5" s="125">
        <f>M5+AH5-Z5</f>
        <v>-1</v>
      </c>
      <c r="AF5" s="125">
        <f>P5+AI5-AB5</f>
        <v>-1.2</v>
      </c>
      <c r="AG5" s="116"/>
      <c r="AH5" s="116"/>
      <c r="AI5" s="116"/>
      <c r="AJ5" s="116"/>
      <c r="AK5" s="116"/>
      <c r="AL5" s="128"/>
      <c r="AM5" s="128"/>
      <c r="AN5" s="128"/>
      <c r="AO5" s="128"/>
    </row>
    <row r="6" spans="1:46" ht="22.5" customHeight="1" x14ac:dyDescent="0.15">
      <c r="A6" s="12">
        <v>2</v>
      </c>
      <c r="B6" s="217"/>
      <c r="C6" s="219"/>
      <c r="D6" s="219"/>
      <c r="E6" s="42" t="s">
        <v>239</v>
      </c>
      <c r="F6" s="14" t="s">
        <v>46</v>
      </c>
      <c r="G6" s="14" t="s">
        <v>75</v>
      </c>
      <c r="H6" s="146"/>
      <c r="I6" s="17">
        <v>0.5</v>
      </c>
      <c r="J6" s="17"/>
      <c r="K6" s="17"/>
      <c r="L6" s="17"/>
      <c r="M6" s="147"/>
      <c r="N6" s="149">
        <f t="shared" si="0"/>
        <v>0</v>
      </c>
      <c r="O6" s="14" t="s">
        <v>88</v>
      </c>
      <c r="P6" s="38"/>
      <c r="Q6" s="149">
        <f t="shared" si="1"/>
        <v>0</v>
      </c>
      <c r="R6" s="149">
        <f t="shared" si="2"/>
        <v>0</v>
      </c>
      <c r="S6" s="45" t="s">
        <v>89</v>
      </c>
      <c r="T6" s="45"/>
      <c r="U6" s="112"/>
      <c r="X6" s="113" t="str">
        <f>VLOOKUP($F6,{"简单","5355";"中等","7650";"复杂","11475"},2,0)</f>
        <v>7650</v>
      </c>
      <c r="Y6" s="131" t="s">
        <v>173</v>
      </c>
      <c r="Z6" s="113">
        <v>1</v>
      </c>
      <c r="AA6" s="108"/>
      <c r="AB6" s="114" t="str">
        <f>VLOOKUP($O6,{"甲级","1.2";"乙级","1.0";"丙级","0.8"},2,0)</f>
        <v>1.2</v>
      </c>
      <c r="AC6" s="108"/>
      <c r="AD6" s="125">
        <f t="shared" si="3"/>
        <v>-7650</v>
      </c>
      <c r="AE6" s="125">
        <f t="shared" ref="AE6:AE9" si="4">M6+AH6-Z6</f>
        <v>-1</v>
      </c>
      <c r="AF6" s="125">
        <f t="shared" ref="AF6:AF9" si="5">P6+AI6-AB6</f>
        <v>-1.2</v>
      </c>
      <c r="AG6" s="116"/>
      <c r="AH6" s="116"/>
      <c r="AI6" s="116"/>
      <c r="AJ6" s="116"/>
      <c r="AK6" s="116"/>
      <c r="AL6" s="128"/>
      <c r="AM6" s="128"/>
      <c r="AN6" s="128"/>
      <c r="AO6" s="128"/>
    </row>
    <row r="7" spans="1:46" ht="22.5" customHeight="1" x14ac:dyDescent="0.15">
      <c r="A7" s="12">
        <v>3</v>
      </c>
      <c r="B7" s="217"/>
      <c r="C7" s="219"/>
      <c r="D7" s="219"/>
      <c r="E7" s="42" t="s">
        <v>78</v>
      </c>
      <c r="F7" s="14" t="s">
        <v>50</v>
      </c>
      <c r="G7" s="14" t="s">
        <v>75</v>
      </c>
      <c r="H7" s="146"/>
      <c r="I7" s="17"/>
      <c r="J7" s="17"/>
      <c r="K7" s="17"/>
      <c r="L7" s="17"/>
      <c r="M7" s="147"/>
      <c r="N7" s="149">
        <f t="shared" si="0"/>
        <v>0</v>
      </c>
      <c r="O7" s="14" t="s">
        <v>88</v>
      </c>
      <c r="P7" s="38"/>
      <c r="Q7" s="149">
        <f t="shared" si="1"/>
        <v>0</v>
      </c>
      <c r="R7" s="149">
        <f t="shared" si="2"/>
        <v>0</v>
      </c>
      <c r="S7" s="45" t="s">
        <v>89</v>
      </c>
      <c r="T7" s="45"/>
      <c r="U7" s="112"/>
      <c r="X7" s="113" t="str">
        <f>VLOOKUP($F7,{"简单","5355";"中等","7650";"复杂","11475"},2,0)</f>
        <v>11475</v>
      </c>
      <c r="Y7" s="109"/>
      <c r="Z7" s="113">
        <v>1</v>
      </c>
      <c r="AA7" s="109"/>
      <c r="AB7" s="114" t="str">
        <f>VLOOKUP($O7,{"甲级","1.2";"乙级","1.0";"丙级","0.8"},2,0)</f>
        <v>1.2</v>
      </c>
      <c r="AC7" s="109"/>
      <c r="AD7" s="125">
        <f t="shared" si="3"/>
        <v>-11475</v>
      </c>
      <c r="AE7" s="125">
        <f t="shared" si="4"/>
        <v>-1</v>
      </c>
      <c r="AF7" s="125">
        <f t="shared" si="5"/>
        <v>-1.2</v>
      </c>
      <c r="AG7" s="116"/>
      <c r="AH7" s="116"/>
      <c r="AI7" s="116"/>
      <c r="AJ7" s="116"/>
      <c r="AK7" s="116"/>
      <c r="AL7" s="128"/>
      <c r="AM7" s="128"/>
      <c r="AN7" s="128"/>
      <c r="AO7" s="128"/>
    </row>
    <row r="8" spans="1:46" ht="22.5" customHeight="1" x14ac:dyDescent="0.15">
      <c r="A8" s="12">
        <v>4</v>
      </c>
      <c r="B8" s="217"/>
      <c r="C8" s="219"/>
      <c r="D8" s="219"/>
      <c r="E8" s="42" t="s">
        <v>62</v>
      </c>
      <c r="F8" s="14" t="s">
        <v>46</v>
      </c>
      <c r="G8" s="14" t="s">
        <v>75</v>
      </c>
      <c r="H8" s="146"/>
      <c r="I8" s="17">
        <v>3.7759999999999998</v>
      </c>
      <c r="J8" s="17"/>
      <c r="K8" s="17"/>
      <c r="L8" s="17"/>
      <c r="M8" s="147"/>
      <c r="N8" s="149">
        <f t="shared" si="0"/>
        <v>0</v>
      </c>
      <c r="O8" s="14" t="s">
        <v>88</v>
      </c>
      <c r="P8" s="38"/>
      <c r="Q8" s="149">
        <f t="shared" si="1"/>
        <v>0</v>
      </c>
      <c r="R8" s="149">
        <f t="shared" si="2"/>
        <v>0</v>
      </c>
      <c r="S8" s="45" t="s">
        <v>89</v>
      </c>
      <c r="T8" s="45"/>
      <c r="U8" s="112"/>
      <c r="X8" s="113" t="str">
        <f>VLOOKUP($F8,{"简单","3570";"中等","5100";"复杂","7650"},2,0)</f>
        <v>5100</v>
      </c>
      <c r="Y8" s="109"/>
      <c r="Z8" s="113">
        <v>1</v>
      </c>
      <c r="AA8" s="109"/>
      <c r="AB8" s="114" t="str">
        <f>VLOOKUP($O8,{"甲级","1.2";"乙级","1.0";"丙级","0.8"},2,0)</f>
        <v>1.2</v>
      </c>
      <c r="AC8" s="109"/>
      <c r="AD8" s="125">
        <f t="shared" si="3"/>
        <v>-5100</v>
      </c>
      <c r="AE8" s="125">
        <f t="shared" si="4"/>
        <v>-1</v>
      </c>
      <c r="AF8" s="125">
        <f t="shared" si="5"/>
        <v>-1.2</v>
      </c>
      <c r="AG8" s="116"/>
      <c r="AH8" s="116"/>
      <c r="AI8" s="116"/>
      <c r="AJ8" s="116"/>
      <c r="AK8" s="116"/>
      <c r="AL8" s="128"/>
      <c r="AM8" s="128"/>
      <c r="AN8" s="128"/>
      <c r="AO8" s="128"/>
    </row>
    <row r="9" spans="1:46" s="179" customFormat="1" ht="22.5" customHeight="1" x14ac:dyDescent="0.15">
      <c r="A9" s="63" t="s">
        <v>242</v>
      </c>
      <c r="B9" s="212" t="s">
        <v>241</v>
      </c>
      <c r="C9" s="213"/>
      <c r="D9" s="213"/>
      <c r="E9" s="213"/>
      <c r="F9" s="213"/>
      <c r="G9" s="213"/>
      <c r="H9" s="213"/>
      <c r="I9" s="213"/>
      <c r="J9" s="213"/>
      <c r="K9" s="213"/>
      <c r="L9" s="213"/>
      <c r="M9" s="214"/>
      <c r="N9" s="171">
        <f>SUM(N5:N8)</f>
        <v>0</v>
      </c>
      <c r="O9" s="172"/>
      <c r="P9" s="173"/>
      <c r="Q9" s="171">
        <f>SUM(Q5:Q8)</f>
        <v>0</v>
      </c>
      <c r="R9" s="171">
        <f>SUM(R5:R8)</f>
        <v>0</v>
      </c>
      <c r="S9" s="172"/>
      <c r="T9" s="174"/>
      <c r="U9" s="165"/>
      <c r="W9" s="180"/>
      <c r="X9" s="175"/>
      <c r="Y9" s="167"/>
      <c r="Z9" s="175"/>
      <c r="AA9" s="167"/>
      <c r="AB9" s="176"/>
      <c r="AC9" s="167"/>
      <c r="AD9" s="169">
        <f t="shared" si="3"/>
        <v>0</v>
      </c>
      <c r="AE9" s="169">
        <f t="shared" si="4"/>
        <v>0</v>
      </c>
      <c r="AF9" s="169">
        <f t="shared" si="5"/>
        <v>0</v>
      </c>
      <c r="AG9" s="177"/>
      <c r="AH9" s="177"/>
      <c r="AI9" s="177"/>
      <c r="AJ9" s="177"/>
      <c r="AK9" s="177"/>
      <c r="AL9" s="178"/>
      <c r="AM9" s="178"/>
      <c r="AN9" s="178"/>
      <c r="AO9" s="178"/>
    </row>
    <row r="10" spans="1:46" ht="22.5" customHeight="1" x14ac:dyDescent="0.15">
      <c r="U10" s="101"/>
      <c r="X10" s="79"/>
      <c r="Y10" s="104"/>
      <c r="Z10" s="79"/>
      <c r="AA10" s="104"/>
      <c r="AB10" s="84"/>
      <c r="AC10" s="104"/>
      <c r="AD10" s="96"/>
      <c r="AE10" s="96"/>
      <c r="AF10" s="96"/>
    </row>
    <row r="11" spans="1:46" ht="22.5" customHeight="1" x14ac:dyDescent="0.15">
      <c r="U11" s="101"/>
      <c r="X11" s="102"/>
      <c r="Y11" s="102"/>
      <c r="Z11" s="106" t="s">
        <v>160</v>
      </c>
      <c r="AA11" s="104"/>
      <c r="AB11" s="106" t="s">
        <v>163</v>
      </c>
      <c r="AC11" s="104"/>
      <c r="AD11" s="96"/>
      <c r="AE11" s="96"/>
      <c r="AF11" s="96"/>
    </row>
    <row r="12" spans="1:46" ht="22.5" customHeight="1" x14ac:dyDescent="0.15">
      <c r="X12" s="102"/>
      <c r="Y12" s="102"/>
      <c r="Z12" s="106" t="s">
        <v>157</v>
      </c>
      <c r="AB12" s="106" t="s">
        <v>164</v>
      </c>
      <c r="AC12" s="104"/>
      <c r="AD12" s="96"/>
      <c r="AE12" s="96"/>
      <c r="AF12" s="96"/>
    </row>
    <row r="13" spans="1:46" ht="22.5" customHeight="1" x14ac:dyDescent="0.15">
      <c r="X13" s="102"/>
      <c r="Y13" s="102"/>
      <c r="Z13" s="106" t="s">
        <v>161</v>
      </c>
      <c r="AB13" s="106" t="s">
        <v>212</v>
      </c>
      <c r="AC13" s="104"/>
      <c r="AD13" s="96"/>
      <c r="AE13" s="96"/>
      <c r="AF13" s="96"/>
    </row>
    <row r="14" spans="1:46" ht="22.5" customHeight="1" x14ac:dyDescent="0.15">
      <c r="X14" s="102"/>
      <c r="Y14" s="102"/>
      <c r="Z14" s="106" t="s">
        <v>165</v>
      </c>
      <c r="AB14" s="106"/>
      <c r="AC14" s="104"/>
      <c r="AD14" s="96"/>
      <c r="AE14" s="96"/>
      <c r="AF14" s="96"/>
    </row>
    <row r="15" spans="1:46" ht="22.5" customHeight="1" x14ac:dyDescent="0.15">
      <c r="X15" s="102"/>
      <c r="Y15" s="102"/>
      <c r="Z15" s="106"/>
      <c r="AB15" s="106"/>
      <c r="AD15" s="96"/>
      <c r="AE15" s="96"/>
      <c r="AF15" s="96"/>
    </row>
    <row r="16" spans="1:46" ht="22.5" customHeight="1" x14ac:dyDescent="0.15">
      <c r="X16" s="102"/>
      <c r="Y16" s="102"/>
      <c r="Z16" s="106"/>
      <c r="AB16" s="106"/>
      <c r="AD16" s="96"/>
      <c r="AE16" s="96"/>
      <c r="AF16" s="96"/>
    </row>
    <row r="17" spans="24:32" ht="22.5" customHeight="1" x14ac:dyDescent="0.15">
      <c r="X17" s="102"/>
      <c r="Y17" s="102"/>
      <c r="Z17" s="106"/>
      <c r="AB17" s="106"/>
      <c r="AD17" s="96"/>
      <c r="AE17" s="96"/>
      <c r="AF17" s="96"/>
    </row>
    <row r="18" spans="24:32" ht="22.5" customHeight="1" x14ac:dyDescent="0.15">
      <c r="X18" s="102"/>
      <c r="Y18" s="102"/>
      <c r="Z18" s="106"/>
      <c r="AB18" s="106"/>
      <c r="AD18" s="96"/>
      <c r="AE18" s="96"/>
      <c r="AF18" s="96"/>
    </row>
    <row r="19" spans="24:32" ht="22.5" customHeight="1" x14ac:dyDescent="0.15">
      <c r="X19" s="79"/>
      <c r="AB19" s="84"/>
      <c r="AD19" s="96"/>
      <c r="AE19" s="96"/>
      <c r="AF19" s="96"/>
    </row>
    <row r="20" spans="24:32" ht="22.5" customHeight="1" x14ac:dyDescent="0.15">
      <c r="X20" s="79"/>
      <c r="AB20" s="84"/>
      <c r="AD20" s="96"/>
      <c r="AE20" s="96"/>
      <c r="AF20" s="96"/>
    </row>
    <row r="21" spans="24:32" ht="22.5" customHeight="1" x14ac:dyDescent="0.15">
      <c r="AD21" s="96"/>
      <c r="AE21" s="96"/>
      <c r="AF21" s="96"/>
    </row>
    <row r="22" spans="24:32" ht="22.5" customHeight="1" x14ac:dyDescent="0.15">
      <c r="AD22" s="96"/>
      <c r="AE22" s="96"/>
      <c r="AF22" s="96"/>
    </row>
    <row r="23" spans="24:32" ht="22.5" customHeight="1" x14ac:dyDescent="0.15">
      <c r="AD23" s="96"/>
      <c r="AE23" s="96"/>
      <c r="AF23" s="96"/>
    </row>
    <row r="24" spans="24:32" ht="22.5" customHeight="1" x14ac:dyDescent="0.15">
      <c r="AD24" s="96"/>
      <c r="AE24" s="96"/>
      <c r="AF24" s="96"/>
    </row>
    <row r="25" spans="24:32" ht="22.5" customHeight="1" x14ac:dyDescent="0.15">
      <c r="AD25" s="96"/>
      <c r="AE25" s="96"/>
      <c r="AF25" s="96"/>
    </row>
    <row r="26" spans="24:32" ht="22.5" customHeight="1" x14ac:dyDescent="0.15">
      <c r="AD26" s="96"/>
      <c r="AE26" s="96"/>
      <c r="AF26" s="96"/>
    </row>
    <row r="27" spans="24:32" ht="22.5" customHeight="1" x14ac:dyDescent="0.15">
      <c r="AD27" s="96"/>
      <c r="AE27" s="96"/>
      <c r="AF27" s="96"/>
    </row>
    <row r="28" spans="24:32" ht="22.5" customHeight="1" x14ac:dyDescent="0.15">
      <c r="AD28" s="96"/>
      <c r="AE28" s="96"/>
      <c r="AF28" s="96"/>
    </row>
    <row r="29" spans="24:32" ht="22.5" customHeight="1" x14ac:dyDescent="0.15">
      <c r="AD29" s="96"/>
      <c r="AE29" s="96"/>
      <c r="AF29" s="96"/>
    </row>
    <row r="30" spans="24:32" ht="22.5" customHeight="1" x14ac:dyDescent="0.15">
      <c r="AD30" s="96"/>
      <c r="AE30" s="96"/>
      <c r="AF30" s="96"/>
    </row>
    <row r="31" spans="24:32" ht="22.5" customHeight="1" x14ac:dyDescent="0.15">
      <c r="AD31" s="96"/>
      <c r="AE31" s="96"/>
      <c r="AF31" s="96"/>
    </row>
    <row r="32" spans="24:32" ht="22.5" customHeight="1" x14ac:dyDescent="0.15">
      <c r="AD32" s="96"/>
      <c r="AE32" s="96"/>
      <c r="AF32" s="96"/>
    </row>
    <row r="33" spans="30:32" ht="22.5" customHeight="1" x14ac:dyDescent="0.15">
      <c r="AD33" s="96"/>
      <c r="AE33" s="96"/>
      <c r="AF33" s="96"/>
    </row>
    <row r="34" spans="30:32" ht="22.5" customHeight="1" x14ac:dyDescent="0.15">
      <c r="AD34" s="96"/>
      <c r="AE34" s="96"/>
      <c r="AF34" s="96"/>
    </row>
    <row r="35" spans="30:32" ht="22.5" customHeight="1" x14ac:dyDescent="0.15">
      <c r="AD35" s="96"/>
      <c r="AE35" s="96"/>
      <c r="AF35" s="96"/>
    </row>
    <row r="36" spans="30:32" ht="22.5" customHeight="1" x14ac:dyDescent="0.15">
      <c r="AD36" s="96"/>
      <c r="AE36" s="96"/>
      <c r="AF36" s="96"/>
    </row>
    <row r="37" spans="30:32" ht="22.5" customHeight="1" x14ac:dyDescent="0.15">
      <c r="AD37" s="96"/>
      <c r="AE37" s="96"/>
      <c r="AF37" s="96"/>
    </row>
    <row r="38" spans="30:32" ht="22.5" customHeight="1" x14ac:dyDescent="0.15">
      <c r="AD38" s="96"/>
      <c r="AE38" s="96"/>
      <c r="AF38" s="96"/>
    </row>
    <row r="39" spans="30:32" ht="22.5" customHeight="1" x14ac:dyDescent="0.15">
      <c r="AD39" s="96"/>
      <c r="AE39" s="96"/>
      <c r="AF39" s="96"/>
    </row>
    <row r="40" spans="30:32" ht="22.5" customHeight="1" x14ac:dyDescent="0.15">
      <c r="AD40" s="96"/>
      <c r="AE40" s="96"/>
      <c r="AF40" s="96"/>
    </row>
    <row r="41" spans="30:32" ht="22.5" customHeight="1" x14ac:dyDescent="0.15">
      <c r="AD41" s="96"/>
      <c r="AE41" s="96"/>
      <c r="AF41" s="96"/>
    </row>
    <row r="42" spans="30:32" ht="22.5" customHeight="1" x14ac:dyDescent="0.15">
      <c r="AD42" s="96"/>
      <c r="AE42" s="96"/>
      <c r="AF42" s="96"/>
    </row>
    <row r="43" spans="30:32" ht="22.5" customHeight="1" x14ac:dyDescent="0.15">
      <c r="AD43" s="96"/>
      <c r="AE43" s="96"/>
      <c r="AF43" s="96"/>
    </row>
    <row r="44" spans="30:32" ht="22.5" customHeight="1" x14ac:dyDescent="0.15">
      <c r="AD44" s="96"/>
      <c r="AE44" s="96"/>
      <c r="AF44" s="96"/>
    </row>
    <row r="45" spans="30:32" ht="22.5" customHeight="1" x14ac:dyDescent="0.15">
      <c r="AD45" s="96"/>
      <c r="AE45" s="96"/>
      <c r="AF45" s="96"/>
    </row>
    <row r="46" spans="30:32" ht="22.5" customHeight="1" x14ac:dyDescent="0.15">
      <c r="AD46" s="96"/>
      <c r="AE46" s="96"/>
      <c r="AF46" s="96"/>
    </row>
    <row r="47" spans="30:32" ht="22.5" customHeight="1" x14ac:dyDescent="0.15">
      <c r="AD47" s="96"/>
      <c r="AE47" s="96"/>
      <c r="AF47" s="96"/>
    </row>
    <row r="48" spans="30:32" ht="22.5" customHeight="1" x14ac:dyDescent="0.15">
      <c r="AD48" s="96"/>
      <c r="AE48" s="96"/>
      <c r="AF48" s="96"/>
    </row>
    <row r="49" spans="30:32" ht="22.5" customHeight="1" x14ac:dyDescent="0.15">
      <c r="AD49" s="96"/>
      <c r="AE49" s="96"/>
      <c r="AF49" s="96"/>
    </row>
    <row r="50" spans="30:32" ht="22.5" customHeight="1" x14ac:dyDescent="0.15">
      <c r="AD50" s="96"/>
      <c r="AE50" s="96"/>
      <c r="AF50" s="96"/>
    </row>
    <row r="51" spans="30:32" ht="22.5" customHeight="1" x14ac:dyDescent="0.15">
      <c r="AD51" s="96"/>
      <c r="AE51" s="96"/>
      <c r="AF51" s="96"/>
    </row>
    <row r="52" spans="30:32" ht="22.5" customHeight="1" x14ac:dyDescent="0.15">
      <c r="AD52" s="96"/>
      <c r="AE52" s="96"/>
      <c r="AF52" s="96"/>
    </row>
    <row r="53" spans="30:32" ht="22.5" customHeight="1" x14ac:dyDescent="0.15">
      <c r="AD53" s="96"/>
      <c r="AE53" s="96"/>
      <c r="AF53" s="96"/>
    </row>
    <row r="54" spans="30:32" ht="22.5" customHeight="1" x14ac:dyDescent="0.15">
      <c r="AD54" s="96"/>
      <c r="AE54" s="96"/>
      <c r="AF54" s="96"/>
    </row>
    <row r="55" spans="30:32" ht="22.5" customHeight="1" x14ac:dyDescent="0.15">
      <c r="AD55" s="96"/>
      <c r="AE55" s="96"/>
      <c r="AF55" s="96"/>
    </row>
    <row r="56" spans="30:32" ht="22.5" customHeight="1" x14ac:dyDescent="0.15">
      <c r="AD56" s="96"/>
      <c r="AE56" s="96"/>
      <c r="AF56" s="96"/>
    </row>
    <row r="57" spans="30:32" ht="22.5" customHeight="1" x14ac:dyDescent="0.15">
      <c r="AD57" s="96"/>
      <c r="AE57" s="96"/>
      <c r="AF57" s="96"/>
    </row>
    <row r="58" spans="30:32" ht="22.5" customHeight="1" x14ac:dyDescent="0.15">
      <c r="AD58" s="96"/>
      <c r="AE58" s="96"/>
      <c r="AF58" s="96"/>
    </row>
    <row r="59" spans="30:32" ht="22.5" customHeight="1" x14ac:dyDescent="0.15">
      <c r="AD59" s="96"/>
      <c r="AE59" s="96"/>
      <c r="AF59" s="96"/>
    </row>
    <row r="60" spans="30:32" ht="22.5" customHeight="1" x14ac:dyDescent="0.15">
      <c r="AD60" s="96"/>
      <c r="AE60" s="96"/>
      <c r="AF60" s="96"/>
    </row>
    <row r="61" spans="30:32" ht="22.5" customHeight="1" x14ac:dyDescent="0.15">
      <c r="AD61" s="96"/>
      <c r="AE61" s="96"/>
      <c r="AF61" s="96"/>
    </row>
    <row r="62" spans="30:32" ht="22.5" customHeight="1" x14ac:dyDescent="0.15">
      <c r="AD62" s="96"/>
      <c r="AE62" s="96"/>
      <c r="AF62" s="96"/>
    </row>
    <row r="63" spans="30:32" ht="22.5" customHeight="1" x14ac:dyDescent="0.15">
      <c r="AD63" s="96"/>
      <c r="AE63" s="96"/>
      <c r="AF63" s="96"/>
    </row>
    <row r="64" spans="30:32" ht="22.5" customHeight="1" x14ac:dyDescent="0.15">
      <c r="AD64" s="96"/>
      <c r="AE64" s="96"/>
      <c r="AF64" s="96"/>
    </row>
    <row r="65" spans="30:32" ht="22.5" customHeight="1" x14ac:dyDescent="0.15">
      <c r="AD65" s="96"/>
      <c r="AE65" s="96"/>
      <c r="AF65" s="96"/>
    </row>
    <row r="66" spans="30:32" ht="22.5" customHeight="1" x14ac:dyDescent="0.15">
      <c r="AD66" s="96"/>
      <c r="AE66" s="96"/>
      <c r="AF66" s="96"/>
    </row>
    <row r="67" spans="30:32" ht="22.5" customHeight="1" x14ac:dyDescent="0.15">
      <c r="AD67" s="96"/>
      <c r="AE67" s="96"/>
      <c r="AF67" s="96"/>
    </row>
    <row r="68" spans="30:32" ht="22.5" customHeight="1" x14ac:dyDescent="0.15">
      <c r="AD68" s="96"/>
      <c r="AE68" s="96"/>
      <c r="AF68" s="96"/>
    </row>
    <row r="69" spans="30:32" ht="22.5" customHeight="1" x14ac:dyDescent="0.15">
      <c r="AD69" s="96"/>
      <c r="AE69" s="96"/>
      <c r="AF69" s="96"/>
    </row>
    <row r="70" spans="30:32" ht="22.5" customHeight="1" x14ac:dyDescent="0.15">
      <c r="AD70" s="96"/>
      <c r="AE70" s="96"/>
      <c r="AF70" s="96"/>
    </row>
    <row r="71" spans="30:32" ht="22.5" customHeight="1" x14ac:dyDescent="0.15">
      <c r="AD71" s="96"/>
      <c r="AE71" s="96"/>
      <c r="AF71" s="96"/>
    </row>
    <row r="72" spans="30:32" ht="22.5" customHeight="1" x14ac:dyDescent="0.15">
      <c r="AD72" s="96"/>
      <c r="AE72" s="96"/>
      <c r="AF72" s="96"/>
    </row>
    <row r="73" spans="30:32" ht="22.5" customHeight="1" x14ac:dyDescent="0.15">
      <c r="AD73" s="96"/>
      <c r="AE73" s="96"/>
      <c r="AF73" s="96"/>
    </row>
    <row r="74" spans="30:32" ht="22.5" customHeight="1" x14ac:dyDescent="0.15">
      <c r="AD74" s="96"/>
      <c r="AE74" s="96"/>
      <c r="AF74" s="96"/>
    </row>
    <row r="75" spans="30:32" ht="22.5" customHeight="1" x14ac:dyDescent="0.15">
      <c r="AD75" s="96"/>
      <c r="AE75" s="96"/>
      <c r="AF75" s="96"/>
    </row>
    <row r="76" spans="30:32" ht="22.5" customHeight="1" x14ac:dyDescent="0.15">
      <c r="AD76" s="96"/>
      <c r="AE76" s="96"/>
      <c r="AF76" s="96"/>
    </row>
    <row r="77" spans="30:32" ht="22.5" customHeight="1" x14ac:dyDescent="0.15">
      <c r="AD77" s="96"/>
      <c r="AE77" s="96"/>
      <c r="AF77" s="96"/>
    </row>
    <row r="78" spans="30:32" ht="22.5" customHeight="1" x14ac:dyDescent="0.15">
      <c r="AD78" s="96"/>
      <c r="AE78" s="96"/>
      <c r="AF78" s="96"/>
    </row>
    <row r="79" spans="30:32" ht="22.5" customHeight="1" x14ac:dyDescent="0.15">
      <c r="AD79" s="96"/>
      <c r="AE79" s="96"/>
      <c r="AF79" s="96"/>
    </row>
    <row r="80" spans="30:32" ht="22.5" customHeight="1" x14ac:dyDescent="0.15">
      <c r="AD80" s="96"/>
      <c r="AE80" s="96"/>
      <c r="AF80" s="96"/>
    </row>
    <row r="81" spans="30:32" ht="22.5" customHeight="1" x14ac:dyDescent="0.15">
      <c r="AD81" s="96"/>
      <c r="AE81" s="96"/>
      <c r="AF81" s="96"/>
    </row>
    <row r="82" spans="30:32" ht="22.5" customHeight="1" x14ac:dyDescent="0.15">
      <c r="AD82" s="96"/>
      <c r="AE82" s="96"/>
      <c r="AF82" s="96"/>
    </row>
    <row r="83" spans="30:32" ht="22.5" customHeight="1" x14ac:dyDescent="0.15">
      <c r="AD83" s="96"/>
      <c r="AE83" s="96"/>
      <c r="AF83" s="96"/>
    </row>
    <row r="84" spans="30:32" ht="22.5" customHeight="1" x14ac:dyDescent="0.15">
      <c r="AD84" s="96"/>
      <c r="AE84" s="96"/>
      <c r="AF84" s="96"/>
    </row>
    <row r="85" spans="30:32" ht="22.5" customHeight="1" x14ac:dyDescent="0.15">
      <c r="AD85" s="96"/>
      <c r="AE85" s="96"/>
      <c r="AF85" s="96"/>
    </row>
    <row r="86" spans="30:32" ht="22.5" customHeight="1" x14ac:dyDescent="0.15">
      <c r="AD86" s="96"/>
      <c r="AE86" s="96"/>
      <c r="AF86" s="96"/>
    </row>
    <row r="87" spans="30:32" ht="22.5" customHeight="1" x14ac:dyDescent="0.15">
      <c r="AD87" s="96"/>
      <c r="AE87" s="96"/>
      <c r="AF87" s="96"/>
    </row>
    <row r="88" spans="30:32" ht="22.5" customHeight="1" x14ac:dyDescent="0.15">
      <c r="AD88" s="96"/>
      <c r="AE88" s="96"/>
      <c r="AF88" s="96"/>
    </row>
    <row r="89" spans="30:32" ht="22.5" customHeight="1" x14ac:dyDescent="0.15">
      <c r="AD89" s="96"/>
      <c r="AE89" s="96"/>
      <c r="AF89" s="96"/>
    </row>
    <row r="90" spans="30:32" ht="22.5" customHeight="1" x14ac:dyDescent="0.15">
      <c r="AD90" s="96"/>
      <c r="AE90" s="96"/>
      <c r="AF90" s="96"/>
    </row>
    <row r="91" spans="30:32" ht="22.5" customHeight="1" x14ac:dyDescent="0.15">
      <c r="AD91" s="96"/>
      <c r="AE91" s="96"/>
      <c r="AF91" s="96"/>
    </row>
    <row r="92" spans="30:32" ht="22.5" customHeight="1" x14ac:dyDescent="0.15">
      <c r="AD92" s="96"/>
      <c r="AE92" s="96"/>
      <c r="AF92" s="96"/>
    </row>
    <row r="93" spans="30:32" ht="22.5" customHeight="1" x14ac:dyDescent="0.15">
      <c r="AD93" s="96"/>
      <c r="AE93" s="96"/>
      <c r="AF93" s="96"/>
    </row>
    <row r="94" spans="30:32" ht="22.5" customHeight="1" x14ac:dyDescent="0.15">
      <c r="AD94" s="96"/>
      <c r="AE94" s="96"/>
      <c r="AF94" s="96"/>
    </row>
    <row r="95" spans="30:32" ht="22.5" customHeight="1" x14ac:dyDescent="0.15">
      <c r="AD95" s="96"/>
      <c r="AE95" s="96"/>
      <c r="AF95" s="96"/>
    </row>
    <row r="96" spans="30:32" ht="22.5" customHeight="1" x14ac:dyDescent="0.15">
      <c r="AD96" s="96"/>
      <c r="AE96" s="96"/>
      <c r="AF96" s="96"/>
    </row>
    <row r="97" spans="30:32" ht="22.5" customHeight="1" x14ac:dyDescent="0.15">
      <c r="AD97" s="96"/>
      <c r="AE97" s="96"/>
      <c r="AF97" s="96"/>
    </row>
    <row r="98" spans="30:32" ht="22.5" customHeight="1" x14ac:dyDescent="0.15">
      <c r="AD98" s="96"/>
      <c r="AE98" s="96"/>
      <c r="AF98" s="96"/>
    </row>
    <row r="99" spans="30:32" ht="22.5" customHeight="1" x14ac:dyDescent="0.15">
      <c r="AD99" s="96"/>
      <c r="AE99" s="96"/>
      <c r="AF99" s="96"/>
    </row>
    <row r="100" spans="30:32" ht="22.5" customHeight="1" x14ac:dyDescent="0.15">
      <c r="AD100" s="96"/>
      <c r="AE100" s="96"/>
      <c r="AF100" s="96"/>
    </row>
    <row r="101" spans="30:32" ht="22.5" customHeight="1" x14ac:dyDescent="0.15">
      <c r="AD101" s="96"/>
      <c r="AE101" s="96"/>
      <c r="AF101" s="96"/>
    </row>
    <row r="102" spans="30:32" ht="22.5" customHeight="1" x14ac:dyDescent="0.15">
      <c r="AD102" s="96"/>
      <c r="AE102" s="96"/>
      <c r="AF102" s="96"/>
    </row>
    <row r="103" spans="30:32" ht="22.5" customHeight="1" x14ac:dyDescent="0.15">
      <c r="AD103" s="96"/>
      <c r="AE103" s="96"/>
      <c r="AF103" s="96"/>
    </row>
    <row r="104" spans="30:32" ht="22.5" customHeight="1" x14ac:dyDescent="0.15">
      <c r="AD104" s="96"/>
      <c r="AE104" s="96"/>
      <c r="AF104" s="96"/>
    </row>
    <row r="105" spans="30:32" ht="22.5" customHeight="1" x14ac:dyDescent="0.15">
      <c r="AD105" s="96"/>
      <c r="AE105" s="96"/>
      <c r="AF105" s="96"/>
    </row>
    <row r="106" spans="30:32" ht="22.5" customHeight="1" x14ac:dyDescent="0.15">
      <c r="AD106" s="96"/>
      <c r="AE106" s="96"/>
      <c r="AF106" s="96"/>
    </row>
    <row r="107" spans="30:32" ht="22.5" customHeight="1" x14ac:dyDescent="0.15">
      <c r="AD107" s="96"/>
      <c r="AE107" s="96"/>
      <c r="AF107" s="96"/>
    </row>
    <row r="108" spans="30:32" ht="22.5" customHeight="1" x14ac:dyDescent="0.15">
      <c r="AD108" s="96"/>
      <c r="AE108" s="96"/>
      <c r="AF108" s="96"/>
    </row>
    <row r="109" spans="30:32" ht="22.5" customHeight="1" x14ac:dyDescent="0.15">
      <c r="AD109" s="96"/>
      <c r="AE109" s="96"/>
      <c r="AF109" s="96"/>
    </row>
    <row r="110" spans="30:32" ht="22.5" customHeight="1" x14ac:dyDescent="0.15">
      <c r="AD110" s="96"/>
      <c r="AE110" s="96"/>
      <c r="AF110" s="96"/>
    </row>
    <row r="111" spans="30:32" ht="22.5" customHeight="1" x14ac:dyDescent="0.15">
      <c r="AD111" s="96"/>
      <c r="AE111" s="96"/>
      <c r="AF111" s="96"/>
    </row>
    <row r="112" spans="30:32" ht="22.5" customHeight="1" x14ac:dyDescent="0.15">
      <c r="AD112" s="96"/>
      <c r="AE112" s="96"/>
      <c r="AF112" s="96"/>
    </row>
    <row r="113" spans="30:32" ht="22.5" customHeight="1" x14ac:dyDescent="0.15">
      <c r="AD113" s="96"/>
      <c r="AE113" s="96"/>
      <c r="AF113" s="96"/>
    </row>
    <row r="114" spans="30:32" ht="22.5" customHeight="1" x14ac:dyDescent="0.15">
      <c r="AD114" s="96"/>
      <c r="AE114" s="96"/>
      <c r="AF114" s="96"/>
    </row>
    <row r="115" spans="30:32" ht="22.5" customHeight="1" x14ac:dyDescent="0.15">
      <c r="AD115" s="96"/>
      <c r="AE115" s="96"/>
      <c r="AF115" s="96"/>
    </row>
    <row r="116" spans="30:32" ht="22.5" customHeight="1" x14ac:dyDescent="0.15">
      <c r="AD116" s="96"/>
      <c r="AE116" s="96"/>
      <c r="AF116" s="96"/>
    </row>
    <row r="117" spans="30:32" ht="22.5" customHeight="1" x14ac:dyDescent="0.15">
      <c r="AD117" s="96"/>
      <c r="AE117" s="96"/>
      <c r="AF117" s="96"/>
    </row>
    <row r="118" spans="30:32" ht="22.5" customHeight="1" x14ac:dyDescent="0.15">
      <c r="AD118" s="96"/>
      <c r="AE118" s="96"/>
      <c r="AF118" s="96"/>
    </row>
    <row r="119" spans="30:32" ht="22.5" customHeight="1" x14ac:dyDescent="0.15">
      <c r="AD119" s="96"/>
      <c r="AE119" s="96"/>
      <c r="AF119" s="96"/>
    </row>
    <row r="120" spans="30:32" ht="22.5" customHeight="1" x14ac:dyDescent="0.15">
      <c r="AD120" s="96"/>
      <c r="AE120" s="96"/>
      <c r="AF120" s="96"/>
    </row>
    <row r="121" spans="30:32" ht="22.5" customHeight="1" x14ac:dyDescent="0.15">
      <c r="AD121" s="96"/>
      <c r="AE121" s="96"/>
      <c r="AF121" s="96"/>
    </row>
    <row r="122" spans="30:32" ht="22.5" customHeight="1" x14ac:dyDescent="0.15">
      <c r="AD122" s="96"/>
      <c r="AE122" s="96"/>
      <c r="AF122" s="96"/>
    </row>
    <row r="123" spans="30:32" ht="22.5" customHeight="1" x14ac:dyDescent="0.15">
      <c r="AD123" s="96"/>
      <c r="AE123" s="96"/>
      <c r="AF123" s="96"/>
    </row>
    <row r="124" spans="30:32" ht="22.5" customHeight="1" x14ac:dyDescent="0.15">
      <c r="AD124" s="96"/>
      <c r="AE124" s="96"/>
      <c r="AF124" s="96"/>
    </row>
    <row r="125" spans="30:32" ht="22.5" customHeight="1" x14ac:dyDescent="0.15">
      <c r="AD125" s="96"/>
      <c r="AE125" s="96"/>
      <c r="AF125" s="96"/>
    </row>
    <row r="126" spans="30:32" ht="22.5" customHeight="1" x14ac:dyDescent="0.15">
      <c r="AD126" s="96"/>
      <c r="AE126" s="96"/>
      <c r="AF126" s="96"/>
    </row>
    <row r="127" spans="30:32" ht="22.5" customHeight="1" x14ac:dyDescent="0.15">
      <c r="AD127" s="96"/>
      <c r="AE127" s="96"/>
      <c r="AF127" s="96"/>
    </row>
    <row r="128" spans="30:32" ht="22.5" customHeight="1" x14ac:dyDescent="0.15">
      <c r="AD128" s="96"/>
      <c r="AE128" s="96"/>
      <c r="AF128" s="96"/>
    </row>
    <row r="129" spans="30:32" ht="22.5" customHeight="1" x14ac:dyDescent="0.15">
      <c r="AD129" s="96"/>
      <c r="AE129" s="96"/>
      <c r="AF129" s="96"/>
    </row>
    <row r="130" spans="30:32" ht="22.5" customHeight="1" x14ac:dyDescent="0.15">
      <c r="AD130" s="96"/>
      <c r="AE130" s="96"/>
      <c r="AF130" s="96"/>
    </row>
    <row r="131" spans="30:32" ht="22.5" customHeight="1" x14ac:dyDescent="0.15">
      <c r="AD131" s="96"/>
      <c r="AE131" s="96"/>
      <c r="AF131" s="96"/>
    </row>
    <row r="132" spans="30:32" ht="22.5" customHeight="1" x14ac:dyDescent="0.15">
      <c r="AD132" s="96"/>
      <c r="AE132" s="96"/>
      <c r="AF132" s="96"/>
    </row>
    <row r="133" spans="30:32" ht="22.5" customHeight="1" x14ac:dyDescent="0.15">
      <c r="AD133" s="96"/>
      <c r="AE133" s="96"/>
      <c r="AF133" s="96"/>
    </row>
    <row r="134" spans="30:32" ht="22.5" customHeight="1" x14ac:dyDescent="0.15">
      <c r="AD134" s="96"/>
      <c r="AE134" s="96"/>
      <c r="AF134" s="96"/>
    </row>
    <row r="135" spans="30:32" ht="22.5" customHeight="1" x14ac:dyDescent="0.15">
      <c r="AD135" s="96"/>
      <c r="AE135" s="96"/>
      <c r="AF135" s="96"/>
    </row>
    <row r="136" spans="30:32" ht="22.5" customHeight="1" x14ac:dyDescent="0.15">
      <c r="AD136" s="96"/>
      <c r="AE136" s="96"/>
      <c r="AF136" s="96"/>
    </row>
    <row r="137" spans="30:32" ht="22.5" customHeight="1" x14ac:dyDescent="0.15">
      <c r="AD137" s="96"/>
      <c r="AE137" s="96"/>
      <c r="AF137" s="96"/>
    </row>
    <row r="138" spans="30:32" ht="22.5" customHeight="1" x14ac:dyDescent="0.15">
      <c r="AD138" s="96"/>
      <c r="AE138" s="96"/>
      <c r="AF138" s="96"/>
    </row>
    <row r="139" spans="30:32" ht="22.5" customHeight="1" x14ac:dyDescent="0.15">
      <c r="AD139" s="96"/>
      <c r="AE139" s="96"/>
      <c r="AF139" s="96"/>
    </row>
    <row r="140" spans="30:32" ht="22.5" customHeight="1" x14ac:dyDescent="0.15">
      <c r="AD140" s="96"/>
      <c r="AE140" s="96"/>
      <c r="AF140" s="96"/>
    </row>
    <row r="141" spans="30:32" ht="22.5" customHeight="1" x14ac:dyDescent="0.15">
      <c r="AD141" s="96"/>
      <c r="AE141" s="96"/>
      <c r="AF141" s="96"/>
    </row>
    <row r="142" spans="30:32" ht="22.5" customHeight="1" x14ac:dyDescent="0.15">
      <c r="AD142" s="96"/>
      <c r="AE142" s="96"/>
      <c r="AF142" s="96"/>
    </row>
    <row r="143" spans="30:32" ht="22.5" customHeight="1" x14ac:dyDescent="0.15">
      <c r="AD143" s="96"/>
      <c r="AE143" s="96"/>
      <c r="AF143" s="96"/>
    </row>
    <row r="144" spans="30:32" ht="22.5" customHeight="1" x14ac:dyDescent="0.15">
      <c r="AD144" s="96"/>
      <c r="AE144" s="96"/>
      <c r="AF144" s="96"/>
    </row>
    <row r="145" spans="30:32" ht="22.5" customHeight="1" x14ac:dyDescent="0.15">
      <c r="AD145" s="96"/>
      <c r="AE145" s="96"/>
      <c r="AF145" s="96"/>
    </row>
    <row r="146" spans="30:32" ht="22.5" customHeight="1" x14ac:dyDescent="0.15">
      <c r="AD146" s="96"/>
      <c r="AE146" s="96"/>
      <c r="AF146" s="96"/>
    </row>
    <row r="147" spans="30:32" ht="22.5" customHeight="1" x14ac:dyDescent="0.15">
      <c r="AD147" s="96"/>
      <c r="AE147" s="96"/>
      <c r="AF147" s="96"/>
    </row>
    <row r="148" spans="30:32" ht="22.5" customHeight="1" x14ac:dyDescent="0.15">
      <c r="AD148" s="96"/>
      <c r="AE148" s="96"/>
      <c r="AF148" s="96"/>
    </row>
    <row r="149" spans="30:32" ht="22.5" customHeight="1" x14ac:dyDescent="0.15">
      <c r="AD149" s="96"/>
      <c r="AE149" s="96"/>
      <c r="AF149" s="96"/>
    </row>
    <row r="150" spans="30:32" ht="22.5" customHeight="1" x14ac:dyDescent="0.15">
      <c r="AD150" s="96"/>
      <c r="AE150" s="96"/>
      <c r="AF150" s="96"/>
    </row>
    <row r="151" spans="30:32" ht="22.5" customHeight="1" x14ac:dyDescent="0.15">
      <c r="AD151" s="96"/>
      <c r="AE151" s="96"/>
      <c r="AF151" s="96"/>
    </row>
    <row r="152" spans="30:32" ht="22.5" customHeight="1" x14ac:dyDescent="0.15">
      <c r="AD152" s="96"/>
      <c r="AE152" s="96"/>
      <c r="AF152" s="96"/>
    </row>
    <row r="153" spans="30:32" ht="22.5" customHeight="1" x14ac:dyDescent="0.15">
      <c r="AD153" s="96"/>
      <c r="AE153" s="96"/>
      <c r="AF153" s="96"/>
    </row>
    <row r="154" spans="30:32" ht="22.5" customHeight="1" x14ac:dyDescent="0.15">
      <c r="AD154" s="96"/>
      <c r="AE154" s="96"/>
      <c r="AF154" s="96"/>
    </row>
    <row r="155" spans="30:32" ht="22.5" customHeight="1" x14ac:dyDescent="0.15">
      <c r="AD155" s="96"/>
      <c r="AE155" s="96"/>
      <c r="AF155" s="96"/>
    </row>
    <row r="156" spans="30:32" ht="22.5" customHeight="1" x14ac:dyDescent="0.15">
      <c r="AD156" s="96"/>
      <c r="AE156" s="96"/>
      <c r="AF156" s="96"/>
    </row>
    <row r="157" spans="30:32" ht="22.5" customHeight="1" x14ac:dyDescent="0.15">
      <c r="AD157" s="96"/>
      <c r="AE157" s="96"/>
      <c r="AF157" s="96"/>
    </row>
    <row r="158" spans="30:32" ht="22.5" customHeight="1" x14ac:dyDescent="0.15">
      <c r="AD158" s="96"/>
      <c r="AE158" s="96"/>
      <c r="AF158" s="96"/>
    </row>
    <row r="159" spans="30:32" ht="22.5" customHeight="1" x14ac:dyDescent="0.15">
      <c r="AD159" s="96"/>
      <c r="AE159" s="96"/>
      <c r="AF159" s="96"/>
    </row>
    <row r="160" spans="30:32" ht="22.5" customHeight="1" x14ac:dyDescent="0.15">
      <c r="AD160" s="96"/>
      <c r="AE160" s="96"/>
      <c r="AF160" s="96"/>
    </row>
    <row r="161" spans="30:32" ht="22.5" customHeight="1" x14ac:dyDescent="0.15">
      <c r="AD161" s="96"/>
      <c r="AE161" s="96"/>
      <c r="AF161" s="96"/>
    </row>
    <row r="162" spans="30:32" ht="22.5" customHeight="1" x14ac:dyDescent="0.15">
      <c r="AD162" s="96"/>
      <c r="AE162" s="96"/>
      <c r="AF162" s="96"/>
    </row>
    <row r="163" spans="30:32" ht="22.5" customHeight="1" x14ac:dyDescent="0.15">
      <c r="AD163" s="96"/>
      <c r="AE163" s="96"/>
      <c r="AF163" s="96"/>
    </row>
    <row r="164" spans="30:32" ht="22.5" customHeight="1" x14ac:dyDescent="0.15">
      <c r="AD164" s="96"/>
      <c r="AE164" s="96"/>
      <c r="AF164" s="96"/>
    </row>
    <row r="165" spans="30:32" ht="22.5" customHeight="1" x14ac:dyDescent="0.15">
      <c r="AD165" s="96"/>
      <c r="AE165" s="96"/>
      <c r="AF165" s="96"/>
    </row>
    <row r="166" spans="30:32" ht="22.5" customHeight="1" x14ac:dyDescent="0.15">
      <c r="AD166" s="96"/>
      <c r="AE166" s="96"/>
      <c r="AF166" s="96"/>
    </row>
    <row r="167" spans="30:32" ht="22.5" customHeight="1" x14ac:dyDescent="0.15">
      <c r="AD167" s="96"/>
      <c r="AE167" s="96"/>
      <c r="AF167" s="96"/>
    </row>
    <row r="168" spans="30:32" ht="22.5" customHeight="1" x14ac:dyDescent="0.15">
      <c r="AD168" s="96"/>
      <c r="AE168" s="96"/>
      <c r="AF168" s="96"/>
    </row>
    <row r="169" spans="30:32" ht="22.5" customHeight="1" x14ac:dyDescent="0.15">
      <c r="AD169" s="96"/>
      <c r="AE169" s="96"/>
      <c r="AF169" s="96"/>
    </row>
    <row r="170" spans="30:32" ht="22.5" customHeight="1" x14ac:dyDescent="0.15">
      <c r="AD170" s="96"/>
      <c r="AE170" s="96"/>
      <c r="AF170" s="96"/>
    </row>
    <row r="171" spans="30:32" ht="22.5" customHeight="1" x14ac:dyDescent="0.15">
      <c r="AD171" s="96"/>
      <c r="AE171" s="96"/>
      <c r="AF171" s="96"/>
    </row>
    <row r="172" spans="30:32" ht="22.5" customHeight="1" x14ac:dyDescent="0.15">
      <c r="AD172" s="96"/>
      <c r="AE172" s="96"/>
      <c r="AF172" s="96"/>
    </row>
    <row r="173" spans="30:32" ht="22.5" customHeight="1" x14ac:dyDescent="0.15">
      <c r="AD173" s="96"/>
      <c r="AE173" s="96"/>
      <c r="AF173" s="96"/>
    </row>
    <row r="174" spans="30:32" ht="22.5" customHeight="1" x14ac:dyDescent="0.15">
      <c r="AD174" s="96"/>
      <c r="AE174" s="96"/>
      <c r="AF174" s="96"/>
    </row>
    <row r="175" spans="30:32" ht="22.5" customHeight="1" x14ac:dyDescent="0.15">
      <c r="AD175" s="96"/>
      <c r="AE175" s="96"/>
      <c r="AF175" s="96"/>
    </row>
    <row r="176" spans="30:32" ht="22.5" customHeight="1" x14ac:dyDescent="0.15">
      <c r="AD176" s="96"/>
      <c r="AE176" s="96"/>
      <c r="AF176" s="96"/>
    </row>
    <row r="177" spans="30:32" ht="22.5" customHeight="1" x14ac:dyDescent="0.15">
      <c r="AD177" s="96"/>
      <c r="AE177" s="96"/>
      <c r="AF177" s="96"/>
    </row>
    <row r="178" spans="30:32" ht="22.5" customHeight="1" x14ac:dyDescent="0.15">
      <c r="AD178" s="96"/>
      <c r="AE178" s="96"/>
      <c r="AF178" s="96"/>
    </row>
    <row r="179" spans="30:32" ht="22.5" customHeight="1" x14ac:dyDescent="0.15">
      <c r="AD179" s="96"/>
      <c r="AE179" s="96"/>
      <c r="AF179" s="96"/>
    </row>
    <row r="180" spans="30:32" ht="22.5" customHeight="1" x14ac:dyDescent="0.15">
      <c r="AD180" s="96"/>
      <c r="AE180" s="96"/>
      <c r="AF180" s="96"/>
    </row>
    <row r="181" spans="30:32" ht="22.5" customHeight="1" x14ac:dyDescent="0.15">
      <c r="AD181" s="96"/>
      <c r="AE181" s="96"/>
      <c r="AF181" s="96"/>
    </row>
    <row r="182" spans="30:32" ht="22.5" customHeight="1" x14ac:dyDescent="0.15">
      <c r="AD182" s="96"/>
      <c r="AE182" s="96"/>
      <c r="AF182" s="96"/>
    </row>
    <row r="183" spans="30:32" ht="22.5" customHeight="1" x14ac:dyDescent="0.15">
      <c r="AD183" s="96"/>
      <c r="AE183" s="96"/>
      <c r="AF183" s="96"/>
    </row>
    <row r="184" spans="30:32" ht="22.5" customHeight="1" x14ac:dyDescent="0.15">
      <c r="AD184" s="96"/>
      <c r="AE184" s="96"/>
      <c r="AF184" s="96"/>
    </row>
    <row r="185" spans="30:32" ht="22.5" customHeight="1" x14ac:dyDescent="0.15">
      <c r="AD185" s="96"/>
      <c r="AE185" s="96"/>
      <c r="AF185" s="96"/>
    </row>
    <row r="186" spans="30:32" ht="22.5" customHeight="1" x14ac:dyDescent="0.15">
      <c r="AD186" s="96"/>
      <c r="AE186" s="96"/>
      <c r="AF186" s="96"/>
    </row>
    <row r="187" spans="30:32" ht="22.5" customHeight="1" x14ac:dyDescent="0.15">
      <c r="AD187" s="96"/>
      <c r="AE187" s="96"/>
      <c r="AF187" s="96"/>
    </row>
    <row r="188" spans="30:32" ht="22.5" customHeight="1" x14ac:dyDescent="0.15">
      <c r="AD188" s="96"/>
      <c r="AE188" s="96"/>
      <c r="AF188" s="96"/>
    </row>
    <row r="189" spans="30:32" ht="22.5" customHeight="1" x14ac:dyDescent="0.15">
      <c r="AD189" s="96"/>
      <c r="AE189" s="96"/>
      <c r="AF189" s="96"/>
    </row>
    <row r="190" spans="30:32" ht="22.5" customHeight="1" x14ac:dyDescent="0.15">
      <c r="AD190" s="96"/>
      <c r="AE190" s="96"/>
      <c r="AF190" s="96"/>
    </row>
    <row r="191" spans="30:32" ht="22.5" customHeight="1" x14ac:dyDescent="0.15">
      <c r="AD191" s="96"/>
      <c r="AE191" s="96"/>
      <c r="AF191" s="96"/>
    </row>
    <row r="192" spans="30:32" ht="22.5" customHeight="1" x14ac:dyDescent="0.15">
      <c r="AD192" s="96"/>
      <c r="AE192" s="96"/>
      <c r="AF192" s="96"/>
    </row>
    <row r="193" spans="30:32" ht="22.5" customHeight="1" x14ac:dyDescent="0.15">
      <c r="AD193" s="96"/>
      <c r="AE193" s="96"/>
      <c r="AF193" s="96"/>
    </row>
    <row r="194" spans="30:32" ht="22.5" customHeight="1" x14ac:dyDescent="0.15">
      <c r="AD194" s="96"/>
      <c r="AE194" s="96"/>
      <c r="AF194" s="96"/>
    </row>
    <row r="195" spans="30:32" ht="22.5" customHeight="1" x14ac:dyDescent="0.15">
      <c r="AD195" s="96"/>
      <c r="AE195" s="96"/>
      <c r="AF195" s="96"/>
    </row>
    <row r="196" spans="30:32" ht="22.5" customHeight="1" x14ac:dyDescent="0.15">
      <c r="AD196" s="96"/>
      <c r="AE196" s="96"/>
      <c r="AF196" s="96"/>
    </row>
    <row r="197" spans="30:32" ht="22.5" customHeight="1" x14ac:dyDescent="0.15">
      <c r="AD197" s="96"/>
      <c r="AE197" s="96"/>
      <c r="AF197" s="96"/>
    </row>
    <row r="198" spans="30:32" ht="22.5" customHeight="1" x14ac:dyDescent="0.15">
      <c r="AD198" s="96"/>
      <c r="AE198" s="96"/>
      <c r="AF198" s="96"/>
    </row>
    <row r="199" spans="30:32" ht="22.5" customHeight="1" x14ac:dyDescent="0.15">
      <c r="AD199" s="96"/>
      <c r="AE199" s="96"/>
      <c r="AF199" s="96"/>
    </row>
    <row r="200" spans="30:32" ht="22.5" customHeight="1" x14ac:dyDescent="0.15">
      <c r="AD200" s="96"/>
      <c r="AE200" s="96"/>
      <c r="AF200" s="96"/>
    </row>
    <row r="201" spans="30:32" ht="22.5" customHeight="1" x14ac:dyDescent="0.15">
      <c r="AD201" s="96"/>
      <c r="AE201" s="96"/>
      <c r="AF201" s="96"/>
    </row>
    <row r="202" spans="30:32" ht="22.5" customHeight="1" x14ac:dyDescent="0.15">
      <c r="AD202" s="96"/>
      <c r="AE202" s="96"/>
      <c r="AF202" s="96"/>
    </row>
    <row r="203" spans="30:32" ht="22.5" customHeight="1" x14ac:dyDescent="0.15">
      <c r="AD203" s="96"/>
      <c r="AE203" s="96"/>
      <c r="AF203" s="96"/>
    </row>
    <row r="204" spans="30:32" ht="22.5" customHeight="1" x14ac:dyDescent="0.15">
      <c r="AD204" s="95"/>
      <c r="AE204" s="95"/>
      <c r="AF204" s="95"/>
    </row>
    <row r="205" spans="30:32" ht="22.5" customHeight="1" x14ac:dyDescent="0.15">
      <c r="AD205" s="95"/>
      <c r="AE205" s="95"/>
      <c r="AF205" s="95"/>
    </row>
  </sheetData>
  <autoFilter ref="A3:AT3" xr:uid="{00000000-0001-0000-0300-000000000000}">
    <filterColumn colId="1" showButton="0"/>
  </autoFilter>
  <mergeCells count="12">
    <mergeCell ref="A1:S1"/>
    <mergeCell ref="B2:G2"/>
    <mergeCell ref="H2:N2"/>
    <mergeCell ref="O2:Q2"/>
    <mergeCell ref="B3:C3"/>
    <mergeCell ref="S2:S3"/>
    <mergeCell ref="B9:M9"/>
    <mergeCell ref="T2:T3"/>
    <mergeCell ref="A2:A3"/>
    <mergeCell ref="B5:B8"/>
    <mergeCell ref="C5:C8"/>
    <mergeCell ref="D5:D8"/>
  </mergeCells>
  <phoneticPr fontId="9" type="noConversion"/>
  <conditionalFormatting sqref="AD1:AF1048576">
    <cfRule type="cellIs" dxfId="1" priority="1" operator="equal">
      <formula>0</formula>
    </cfRule>
  </conditionalFormatting>
  <dataValidations count="2">
    <dataValidation type="list" allowBlank="1" showInputMessage="1" showErrorMessage="1" sqref="F5:F8" xr:uid="{00000000-0002-0000-0300-000000000000}">
      <formula1>"简单,中等,复杂"</formula1>
    </dataValidation>
    <dataValidation type="list" allowBlank="1" showInputMessage="1" showErrorMessage="1" sqref="O5:O8" xr:uid="{00000000-0002-0000-0300-000001000000}">
      <formula1>"甲级,乙级,丙级"</formula1>
    </dataValidation>
  </dataValidations>
  <printOptions horizontalCentered="1"/>
  <pageMargins left="0.78680555555555598" right="0.59027777777777801" top="0.78680555555555598" bottom="0.59027777777777801" header="0.5" footer="0.196527777777778"/>
  <pageSetup paperSize="9" orientation="landscape" r:id="rId1"/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9" tint="0.59999389629810485"/>
    <outlinePr summaryBelow="0" summaryRight="0"/>
  </sheetPr>
  <dimension ref="A1:AU17"/>
  <sheetViews>
    <sheetView zoomScale="85" zoomScaleNormal="85" workbookViewId="0">
      <pane xSplit="7" ySplit="3" topLeftCell="H5" activePane="bottomRight" state="frozen"/>
      <selection sqref="A1:R1"/>
      <selection pane="topRight" sqref="A1:R1"/>
      <selection pane="bottomLeft" sqref="A1:R1"/>
      <selection pane="bottomRight" activeCell="H23" sqref="H23"/>
    </sheetView>
  </sheetViews>
  <sheetFormatPr defaultColWidth="9" defaultRowHeight="22.5" customHeight="1" outlineLevelRow="1" outlineLevelCol="2" x14ac:dyDescent="0.15"/>
  <cols>
    <col min="1" max="1" width="5.625" style="2" customWidth="1"/>
    <col min="2" max="2" width="5.5" style="91" customWidth="1"/>
    <col min="3" max="3" width="7.625" style="144" customWidth="1"/>
    <col min="4" max="4" width="8.5" style="2" customWidth="1"/>
    <col min="5" max="5" width="12.125" style="3" customWidth="1"/>
    <col min="6" max="6" width="7.5" style="2" customWidth="1"/>
    <col min="7" max="7" width="9.25" style="2" customWidth="1"/>
    <col min="8" max="8" width="12.625" style="4" customWidth="1"/>
    <col min="9" max="9" width="9.875" style="2" customWidth="1" collapsed="1"/>
    <col min="10" max="11" width="9" style="2" hidden="1" customWidth="1" outlineLevel="1"/>
    <col min="12" max="12" width="15.75" style="2" hidden="1" customWidth="1" outlineLevel="1"/>
    <col min="13" max="13" width="10.75" style="6" customWidth="1"/>
    <col min="14" max="14" width="10.75" style="7" customWidth="1" outlineLevel="1"/>
    <col min="15" max="15" width="9.25" style="2" customWidth="1"/>
    <col min="16" max="16" width="11.125" style="8" customWidth="1"/>
    <col min="17" max="17" width="9.75" style="9" customWidth="1" outlineLevel="1"/>
    <col min="18" max="18" width="11.25" style="9" customWidth="1"/>
    <col min="19" max="20" width="18.625" style="2" customWidth="1"/>
    <col min="21" max="21" width="4.875" style="102" customWidth="1"/>
    <col min="22" max="22" width="9" style="1" collapsed="1"/>
    <col min="23" max="23" width="28.875" style="140" hidden="1" customWidth="1" outlineLevel="2"/>
    <col min="24" max="24" width="12.25" style="64" hidden="1" customWidth="1" outlineLevel="1" collapsed="1"/>
    <col min="25" max="25" width="22.375" style="103" hidden="1" customWidth="1" outlineLevel="2"/>
    <col min="26" max="26" width="14.125" style="64" hidden="1" customWidth="1" outlineLevel="1" collapsed="1"/>
    <col min="27" max="27" width="18.5" style="103" hidden="1" customWidth="1" outlineLevel="2"/>
    <col min="28" max="28" width="13.25" style="78" hidden="1" customWidth="1" outlineLevel="1" collapsed="1"/>
    <col min="29" max="29" width="18.5" style="103" hidden="1" customWidth="1" outlineLevel="2"/>
    <col min="30" max="30" width="0" style="94" hidden="1" customWidth="1" outlineLevel="1" collapsed="1"/>
    <col min="31" max="32" width="9" style="94" hidden="1" customWidth="1" outlineLevel="2"/>
    <col min="33" max="35" width="11.125" style="94" hidden="1" customWidth="1" outlineLevel="2"/>
    <col min="36" max="36" width="11.875" style="94" hidden="1" customWidth="1" outlineLevel="1" collapsed="1"/>
    <col min="37" max="38" width="7.25" style="94" hidden="1" customWidth="1" outlineLevel="2"/>
    <col min="39" max="41" width="18.375" style="94" hidden="1" customWidth="1" outlineLevel="2"/>
    <col min="42" max="42" width="0" style="1" hidden="1" customWidth="1" outlineLevel="1" collapsed="1"/>
    <col min="43" max="46" width="9" style="1" hidden="1" customWidth="1" outlineLevel="2"/>
    <col min="47" max="47" width="0" style="1" hidden="1" customWidth="1" outlineLevel="1"/>
    <col min="48" max="16384" width="9" style="1"/>
  </cols>
  <sheetData>
    <row r="1" spans="1:46" ht="36" customHeight="1" x14ac:dyDescent="0.15">
      <c r="A1" s="198" t="s">
        <v>140</v>
      </c>
      <c r="B1" s="239"/>
      <c r="C1" s="239"/>
      <c r="D1" s="239"/>
      <c r="E1" s="240"/>
      <c r="F1" s="239"/>
      <c r="G1" s="239"/>
      <c r="H1" s="241"/>
      <c r="I1" s="199"/>
      <c r="J1" s="242"/>
      <c r="K1" s="242"/>
      <c r="L1" s="242"/>
      <c r="M1" s="243"/>
      <c r="N1" s="244"/>
      <c r="O1" s="239"/>
      <c r="P1" s="245"/>
      <c r="Q1" s="246"/>
      <c r="R1" s="246"/>
      <c r="S1" s="247"/>
      <c r="T1" s="87"/>
      <c r="U1" s="92"/>
      <c r="X1" s="92"/>
      <c r="Z1" s="103"/>
      <c r="AB1" s="103"/>
    </row>
    <row r="2" spans="1:46" s="46" customFormat="1" ht="22.5" customHeight="1" x14ac:dyDescent="0.15">
      <c r="A2" s="192" t="s">
        <v>1</v>
      </c>
      <c r="B2" s="230" t="s">
        <v>21</v>
      </c>
      <c r="C2" s="230"/>
      <c r="D2" s="230"/>
      <c r="E2" s="230"/>
      <c r="F2" s="230"/>
      <c r="G2" s="230"/>
      <c r="H2" s="231" t="s">
        <v>205</v>
      </c>
      <c r="I2" s="192"/>
      <c r="J2" s="192"/>
      <c r="K2" s="192"/>
      <c r="L2" s="192"/>
      <c r="M2" s="192"/>
      <c r="N2" s="232"/>
      <c r="O2" s="192" t="s">
        <v>39</v>
      </c>
      <c r="P2" s="233"/>
      <c r="Q2" s="234"/>
      <c r="R2" s="32" t="s">
        <v>82</v>
      </c>
      <c r="S2" s="192" t="s">
        <v>24</v>
      </c>
      <c r="T2" s="192" t="s">
        <v>24</v>
      </c>
      <c r="U2" s="93"/>
      <c r="V2" s="139"/>
      <c r="W2" s="141"/>
      <c r="X2" s="107"/>
      <c r="Y2" s="107"/>
      <c r="Z2" s="107"/>
      <c r="AA2" s="107"/>
      <c r="AB2" s="107"/>
      <c r="AC2" s="107"/>
      <c r="AD2" s="122"/>
      <c r="AE2" s="95"/>
      <c r="AF2" s="95"/>
      <c r="AG2" s="95"/>
      <c r="AH2" s="95"/>
      <c r="AI2" s="95"/>
      <c r="AJ2" s="124"/>
      <c r="AK2" s="95"/>
      <c r="AL2" s="95"/>
      <c r="AM2" s="95"/>
      <c r="AN2" s="95"/>
      <c r="AO2" s="95"/>
      <c r="AP2" s="138"/>
      <c r="AQ2" s="132"/>
      <c r="AR2" s="132"/>
      <c r="AS2" s="132"/>
      <c r="AT2" s="132"/>
    </row>
    <row r="3" spans="1:46" s="46" customFormat="1" ht="37.15" customHeight="1" collapsed="1" x14ac:dyDescent="0.15">
      <c r="A3" s="212"/>
      <c r="B3" s="192" t="s">
        <v>2</v>
      </c>
      <c r="C3" s="192"/>
      <c r="D3" s="11" t="s">
        <v>43</v>
      </c>
      <c r="E3" s="16" t="s">
        <v>44</v>
      </c>
      <c r="F3" s="11" t="s">
        <v>83</v>
      </c>
      <c r="G3" s="11" t="s">
        <v>27</v>
      </c>
      <c r="H3" s="156" t="s">
        <v>148</v>
      </c>
      <c r="I3" s="157" t="s">
        <v>90</v>
      </c>
      <c r="J3" s="11" t="s">
        <v>240</v>
      </c>
      <c r="K3" s="11" t="s">
        <v>240</v>
      </c>
      <c r="L3" s="11" t="s">
        <v>84</v>
      </c>
      <c r="M3" s="158" t="s">
        <v>206</v>
      </c>
      <c r="N3" s="25" t="s">
        <v>13</v>
      </c>
      <c r="O3" s="11" t="s">
        <v>209</v>
      </c>
      <c r="P3" s="159" t="s">
        <v>198</v>
      </c>
      <c r="Q3" s="11" t="s">
        <v>13</v>
      </c>
      <c r="R3" s="32" t="s">
        <v>85</v>
      </c>
      <c r="S3" s="192"/>
      <c r="T3" s="192"/>
      <c r="U3" s="93">
        <v>0</v>
      </c>
      <c r="V3" s="139" t="s">
        <v>235</v>
      </c>
      <c r="W3" s="141" t="s">
        <v>234</v>
      </c>
      <c r="X3" s="120" t="s">
        <v>201</v>
      </c>
      <c r="Y3" s="120" t="s">
        <v>199</v>
      </c>
      <c r="Z3" s="120" t="s">
        <v>202</v>
      </c>
      <c r="AA3" s="120" t="s">
        <v>208</v>
      </c>
      <c r="AB3" s="120" t="s">
        <v>203</v>
      </c>
      <c r="AC3" s="120" t="s">
        <v>207</v>
      </c>
      <c r="AD3" s="122" t="s">
        <v>147</v>
      </c>
      <c r="AE3" s="95"/>
      <c r="AF3" s="95"/>
      <c r="AG3" s="95"/>
      <c r="AH3" s="95"/>
      <c r="AI3" s="95"/>
      <c r="AJ3" s="124" t="s">
        <v>149</v>
      </c>
      <c r="AK3" s="95"/>
      <c r="AL3" s="95"/>
      <c r="AM3" s="95"/>
      <c r="AN3" s="95"/>
      <c r="AO3" s="95"/>
      <c r="AP3" s="138" t="s">
        <v>228</v>
      </c>
      <c r="AQ3" s="138"/>
      <c r="AR3" s="138"/>
      <c r="AS3" s="138"/>
      <c r="AT3" s="138"/>
    </row>
    <row r="4" spans="1:46" s="86" customFormat="1" ht="37.15" hidden="1" customHeight="1" outlineLevel="1" x14ac:dyDescent="0.15">
      <c r="A4" s="63" t="s">
        <v>139</v>
      </c>
      <c r="B4" s="63" t="s">
        <v>130</v>
      </c>
      <c r="C4" s="63" t="s">
        <v>132</v>
      </c>
      <c r="D4" s="63" t="s">
        <v>135</v>
      </c>
      <c r="E4" s="63" t="s">
        <v>133</v>
      </c>
      <c r="F4" s="63" t="s">
        <v>134</v>
      </c>
      <c r="G4" s="63" t="s">
        <v>131</v>
      </c>
      <c r="H4" s="85" t="s">
        <v>138</v>
      </c>
      <c r="I4" s="63" t="s">
        <v>236</v>
      </c>
      <c r="J4" s="63"/>
      <c r="K4" s="63"/>
      <c r="L4" s="63"/>
      <c r="M4" s="85" t="s">
        <v>136</v>
      </c>
      <c r="N4" s="63"/>
      <c r="O4" s="63" t="s">
        <v>210</v>
      </c>
      <c r="P4" s="85" t="s">
        <v>137</v>
      </c>
      <c r="Q4" s="63"/>
      <c r="R4" s="63"/>
      <c r="S4" s="63"/>
      <c r="T4" s="63"/>
      <c r="U4" s="119"/>
      <c r="V4" s="139" t="s">
        <v>235</v>
      </c>
      <c r="W4" s="141" t="s">
        <v>234</v>
      </c>
      <c r="X4" s="121" t="s">
        <v>204</v>
      </c>
      <c r="Y4" s="121" t="s">
        <v>204</v>
      </c>
      <c r="Z4" s="121" t="s">
        <v>204</v>
      </c>
      <c r="AA4" s="121" t="s">
        <v>204</v>
      </c>
      <c r="AB4" s="121" t="s">
        <v>204</v>
      </c>
      <c r="AC4" s="121" t="s">
        <v>204</v>
      </c>
      <c r="AD4" s="122" t="s">
        <v>147</v>
      </c>
      <c r="AE4" s="122" t="s">
        <v>147</v>
      </c>
      <c r="AF4" s="122" t="s">
        <v>147</v>
      </c>
      <c r="AG4" s="123" t="s">
        <v>218</v>
      </c>
      <c r="AH4" s="123" t="s">
        <v>216</v>
      </c>
      <c r="AI4" s="123" t="s">
        <v>217</v>
      </c>
      <c r="AJ4" s="124" t="s">
        <v>149</v>
      </c>
      <c r="AK4" s="124" t="s">
        <v>150</v>
      </c>
      <c r="AL4" s="124" t="s">
        <v>151</v>
      </c>
      <c r="AM4" s="124" t="s">
        <v>152</v>
      </c>
      <c r="AN4" s="124" t="s">
        <v>219</v>
      </c>
      <c r="AO4" s="124" t="s">
        <v>220</v>
      </c>
      <c r="AP4" s="138" t="s">
        <v>229</v>
      </c>
      <c r="AQ4" s="138" t="s">
        <v>230</v>
      </c>
      <c r="AR4" s="138" t="s">
        <v>230</v>
      </c>
      <c r="AS4" s="138" t="s">
        <v>231</v>
      </c>
      <c r="AT4" s="138" t="s">
        <v>232</v>
      </c>
    </row>
    <row r="5" spans="1:46" s="46" customFormat="1" ht="36" x14ac:dyDescent="0.15">
      <c r="A5" s="14">
        <v>1</v>
      </c>
      <c r="B5" s="212" t="s">
        <v>211</v>
      </c>
      <c r="C5" s="214"/>
      <c r="D5" s="11"/>
      <c r="E5" s="16"/>
      <c r="F5" s="11"/>
      <c r="G5" s="11" t="s">
        <v>91</v>
      </c>
      <c r="H5" s="15"/>
      <c r="I5" s="17">
        <v>10</v>
      </c>
      <c r="J5" s="17"/>
      <c r="K5" s="17"/>
      <c r="L5" s="17"/>
      <c r="M5" s="147"/>
      <c r="N5" s="149">
        <f t="shared" ref="N5:N7" si="0">H5*I5*M5</f>
        <v>0</v>
      </c>
      <c r="O5" s="14" t="s">
        <v>88</v>
      </c>
      <c r="P5" s="38"/>
      <c r="Q5" s="149">
        <f t="shared" ref="Q5:Q7" si="1">N5*P5</f>
        <v>0</v>
      </c>
      <c r="R5" s="149">
        <f t="shared" ref="R5:R7" si="2">N5+Q5</f>
        <v>0</v>
      </c>
      <c r="S5" s="17"/>
      <c r="T5" s="17"/>
      <c r="U5" s="112"/>
      <c r="W5" s="142"/>
      <c r="X5" s="113">
        <v>1000</v>
      </c>
      <c r="Y5" s="109"/>
      <c r="Z5" s="113">
        <v>1</v>
      </c>
      <c r="AA5" s="108"/>
      <c r="AB5" s="117"/>
      <c r="AC5" s="108" t="s">
        <v>222</v>
      </c>
      <c r="AD5" s="125">
        <f>H5+AG5-X5</f>
        <v>-1000</v>
      </c>
      <c r="AE5" s="125">
        <f>M5+AH5-Z5</f>
        <v>-1</v>
      </c>
      <c r="AF5" s="125">
        <f>P5+AI5-AB5</f>
        <v>0</v>
      </c>
      <c r="AG5" s="126"/>
      <c r="AH5" s="126"/>
      <c r="AI5" s="126"/>
      <c r="AJ5" s="126"/>
      <c r="AK5" s="126"/>
      <c r="AL5" s="126"/>
      <c r="AM5" s="126"/>
      <c r="AN5" s="126"/>
      <c r="AO5" s="126"/>
    </row>
    <row r="6" spans="1:46" s="46" customFormat="1" ht="72" x14ac:dyDescent="0.15">
      <c r="A6" s="14">
        <v>2</v>
      </c>
      <c r="B6" s="215" t="s">
        <v>126</v>
      </c>
      <c r="C6" s="235" t="s">
        <v>124</v>
      </c>
      <c r="D6" s="197" t="s">
        <v>125</v>
      </c>
      <c r="E6" s="88" t="s">
        <v>92</v>
      </c>
      <c r="F6" s="14" t="s">
        <v>36</v>
      </c>
      <c r="G6" s="17" t="s">
        <v>93</v>
      </c>
      <c r="H6" s="146"/>
      <c r="I6" s="17">
        <v>49</v>
      </c>
      <c r="J6" s="17"/>
      <c r="K6" s="17"/>
      <c r="L6" s="17"/>
      <c r="M6" s="147"/>
      <c r="N6" s="149">
        <f t="shared" si="0"/>
        <v>0</v>
      </c>
      <c r="O6" s="14" t="s">
        <v>88</v>
      </c>
      <c r="P6" s="38"/>
      <c r="Q6" s="149">
        <f t="shared" si="1"/>
        <v>0</v>
      </c>
      <c r="R6" s="149">
        <f t="shared" si="2"/>
        <v>0</v>
      </c>
      <c r="S6" s="17" t="s">
        <v>94</v>
      </c>
      <c r="T6" s="17" t="s">
        <v>169</v>
      </c>
      <c r="U6" s="112"/>
      <c r="W6" s="142"/>
      <c r="X6" s="113" t="str">
        <f>VLOOKUP(F6,{"Ⅰ","46";"Ⅱ","71";"Ⅲ","117";"Ⅳ","207";"Ⅴ","301";"Ⅵ","382"},2,0)</f>
        <v>117</v>
      </c>
      <c r="Y6" s="116"/>
      <c r="Z6" s="113">
        <v>1.5</v>
      </c>
      <c r="AA6" s="116" t="s">
        <v>95</v>
      </c>
      <c r="AB6" s="114" t="str">
        <f>VLOOKUP(O6,{"甲级","1.2";"乙级","1.0";"丙级","0.8"},2,0)</f>
        <v>1.2</v>
      </c>
      <c r="AC6" s="108" t="s">
        <v>223</v>
      </c>
      <c r="AD6" s="125">
        <f t="shared" ref="AD6:AD7" si="3">H6+AG6-X6</f>
        <v>-117</v>
      </c>
      <c r="AE6" s="125">
        <f t="shared" ref="AE6:AE7" si="4">M6+AH6-Z6</f>
        <v>-1.5</v>
      </c>
      <c r="AF6" s="125">
        <f t="shared" ref="AF6:AF7" si="5">P6+AI6-AB6</f>
        <v>-1.2</v>
      </c>
      <c r="AG6" s="126"/>
      <c r="AH6" s="126"/>
      <c r="AI6" s="126"/>
      <c r="AJ6" s="126"/>
      <c r="AK6" s="126"/>
      <c r="AL6" s="126"/>
      <c r="AM6" s="126"/>
      <c r="AN6" s="126"/>
      <c r="AO6" s="126"/>
    </row>
    <row r="7" spans="1:46" s="46" customFormat="1" ht="36" x14ac:dyDescent="0.15">
      <c r="A7" s="14">
        <v>3</v>
      </c>
      <c r="B7" s="217"/>
      <c r="C7" s="235"/>
      <c r="D7" s="197"/>
      <c r="E7" s="88" t="s">
        <v>92</v>
      </c>
      <c r="F7" s="14" t="s">
        <v>96</v>
      </c>
      <c r="G7" s="17" t="s">
        <v>93</v>
      </c>
      <c r="H7" s="146"/>
      <c r="I7" s="17">
        <v>121</v>
      </c>
      <c r="J7" s="17"/>
      <c r="K7" s="17"/>
      <c r="L7" s="17"/>
      <c r="M7" s="147"/>
      <c r="N7" s="149">
        <f t="shared" si="0"/>
        <v>0</v>
      </c>
      <c r="O7" s="14" t="s">
        <v>88</v>
      </c>
      <c r="P7" s="38"/>
      <c r="Q7" s="149">
        <f t="shared" si="1"/>
        <v>0</v>
      </c>
      <c r="R7" s="149">
        <f t="shared" si="2"/>
        <v>0</v>
      </c>
      <c r="S7" s="17" t="s">
        <v>170</v>
      </c>
      <c r="T7" s="17"/>
      <c r="U7" s="112"/>
      <c r="W7" s="142"/>
      <c r="X7" s="113" t="str">
        <f>VLOOKUP(F7,{"Ⅰ","46";"Ⅱ","71";"Ⅲ","117";"Ⅳ","207";"Ⅴ","301";"Ⅵ","382"},2,0)</f>
        <v>207</v>
      </c>
      <c r="Y7" s="116" t="s">
        <v>171</v>
      </c>
      <c r="Z7" s="113">
        <v>1.5</v>
      </c>
      <c r="AA7" s="109"/>
      <c r="AB7" s="114" t="str">
        <f>VLOOKUP(O7,{"甲级","1.2";"乙级","1.0";"丙级","0.8"},2,0)</f>
        <v>1.2</v>
      </c>
      <c r="AC7" s="109"/>
      <c r="AD7" s="125">
        <f t="shared" si="3"/>
        <v>-207</v>
      </c>
      <c r="AE7" s="125">
        <f t="shared" si="4"/>
        <v>-1.5</v>
      </c>
      <c r="AF7" s="125">
        <f t="shared" si="5"/>
        <v>-1.2</v>
      </c>
      <c r="AG7" s="126"/>
      <c r="AH7" s="126"/>
      <c r="AI7" s="126"/>
      <c r="AJ7" s="126"/>
      <c r="AK7" s="126"/>
      <c r="AL7" s="126"/>
      <c r="AM7" s="126"/>
      <c r="AN7" s="126"/>
      <c r="AO7" s="126"/>
    </row>
    <row r="8" spans="1:46" s="136" customFormat="1" ht="22.5" customHeight="1" x14ac:dyDescent="0.15">
      <c r="A8" s="63" t="s">
        <v>242</v>
      </c>
      <c r="B8" s="236" t="s">
        <v>242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8"/>
      <c r="N8" s="171">
        <f>SUM(N5:N7)</f>
        <v>0</v>
      </c>
      <c r="O8" s="181"/>
      <c r="P8" s="182"/>
      <c r="Q8" s="171">
        <f>SUM(Q5:Q7)</f>
        <v>0</v>
      </c>
      <c r="R8" s="171">
        <f>SUM(R5:R7)</f>
        <v>0</v>
      </c>
      <c r="S8" s="172"/>
      <c r="T8" s="172"/>
      <c r="U8" s="183"/>
      <c r="W8" s="186"/>
      <c r="X8" s="184"/>
      <c r="Y8" s="167"/>
      <c r="Z8" s="185"/>
      <c r="AA8" s="167"/>
      <c r="AB8" s="176"/>
      <c r="AC8" s="167"/>
      <c r="AD8" s="177"/>
      <c r="AE8" s="177"/>
      <c r="AF8" s="177"/>
      <c r="AG8" s="177"/>
      <c r="AH8" s="177"/>
      <c r="AI8" s="177"/>
      <c r="AJ8" s="177"/>
      <c r="AK8" s="177"/>
      <c r="AL8" s="177"/>
      <c r="AM8" s="177"/>
      <c r="AN8" s="177"/>
      <c r="AO8" s="177"/>
    </row>
    <row r="9" spans="1:46" s="46" customFormat="1" ht="22.5" customHeight="1" x14ac:dyDescent="0.15">
      <c r="B9" s="136"/>
      <c r="C9" s="143"/>
      <c r="E9" s="137"/>
      <c r="H9" s="150"/>
      <c r="M9" s="151"/>
      <c r="N9" s="152"/>
      <c r="P9" s="153"/>
      <c r="Q9" s="154"/>
      <c r="R9" s="154"/>
      <c r="U9" s="102"/>
      <c r="W9" s="142"/>
      <c r="X9" s="64"/>
      <c r="Y9" s="103"/>
      <c r="Z9" s="64"/>
      <c r="AA9" s="103"/>
      <c r="AB9" s="78"/>
      <c r="AC9" s="103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</row>
    <row r="10" spans="1:46" ht="22.5" customHeight="1" x14ac:dyDescent="0.15">
      <c r="M10" s="2"/>
      <c r="N10" s="2"/>
      <c r="P10" s="2"/>
      <c r="Q10" s="2"/>
      <c r="Z10" s="106" t="s">
        <v>160</v>
      </c>
      <c r="AB10" s="106" t="s">
        <v>163</v>
      </c>
      <c r="AC10" s="106"/>
    </row>
    <row r="11" spans="1:46" ht="22.5" customHeight="1" x14ac:dyDescent="0.15">
      <c r="M11" s="2"/>
      <c r="N11" s="2"/>
      <c r="P11" s="2"/>
      <c r="Q11" s="2"/>
      <c r="Z11" s="106" t="s">
        <v>95</v>
      </c>
      <c r="AB11" s="106" t="s">
        <v>215</v>
      </c>
      <c r="AC11" s="106"/>
    </row>
    <row r="12" spans="1:46" ht="22.5" customHeight="1" x14ac:dyDescent="0.15">
      <c r="M12" s="2"/>
      <c r="N12" s="2"/>
      <c r="P12" s="2"/>
      <c r="Q12" s="2"/>
      <c r="Z12" s="106" t="s">
        <v>172</v>
      </c>
      <c r="AB12" s="106"/>
      <c r="AC12" s="106"/>
    </row>
    <row r="13" spans="1:46" ht="22.5" customHeight="1" x14ac:dyDescent="0.15">
      <c r="M13" s="2"/>
      <c r="N13" s="2"/>
      <c r="P13" s="2"/>
      <c r="Q13" s="2"/>
      <c r="Z13" s="106"/>
      <c r="AB13" s="106"/>
      <c r="AC13" s="106"/>
    </row>
    <row r="14" spans="1:46" ht="22.5" customHeight="1" x14ac:dyDescent="0.15">
      <c r="M14" s="2"/>
      <c r="N14" s="2"/>
      <c r="P14" s="2"/>
      <c r="Q14" s="2"/>
      <c r="Z14" s="106"/>
      <c r="AB14" s="106"/>
      <c r="AC14" s="106"/>
    </row>
    <row r="15" spans="1:46" ht="22.5" customHeight="1" x14ac:dyDescent="0.15">
      <c r="M15" s="2"/>
      <c r="N15" s="2"/>
      <c r="P15" s="2"/>
      <c r="Q15" s="2"/>
      <c r="Z15" s="106"/>
      <c r="AB15" s="106"/>
      <c r="AC15" s="106"/>
    </row>
    <row r="16" spans="1:46" ht="22.5" customHeight="1" x14ac:dyDescent="0.15">
      <c r="M16" s="2"/>
      <c r="N16" s="2"/>
      <c r="P16" s="2"/>
      <c r="Q16" s="2"/>
      <c r="Z16" s="106"/>
      <c r="AB16" s="106"/>
      <c r="AC16" s="106"/>
    </row>
    <row r="17" spans="13:29" ht="22.5" customHeight="1" x14ac:dyDescent="0.15">
      <c r="M17" s="2"/>
      <c r="N17" s="2"/>
      <c r="P17" s="2"/>
      <c r="Q17" s="2"/>
      <c r="Z17" s="106" t="s">
        <v>165</v>
      </c>
      <c r="AB17" s="106"/>
      <c r="AC17" s="106"/>
    </row>
  </sheetData>
  <autoFilter ref="A3:AT8" xr:uid="{00000000-0001-0000-0400-000000000000}">
    <filterColumn colId="1" showButton="0"/>
  </autoFilter>
  <mergeCells count="13">
    <mergeCell ref="B8:M8"/>
    <mergeCell ref="T2:T3"/>
    <mergeCell ref="A1:S1"/>
    <mergeCell ref="B2:G2"/>
    <mergeCell ref="H2:N2"/>
    <mergeCell ref="O2:Q2"/>
    <mergeCell ref="B3:C3"/>
    <mergeCell ref="S2:S3"/>
    <mergeCell ref="B5:C5"/>
    <mergeCell ref="B6:B7"/>
    <mergeCell ref="D6:D7"/>
    <mergeCell ref="A2:A3"/>
    <mergeCell ref="C6:C7"/>
  </mergeCells>
  <phoneticPr fontId="9" type="noConversion"/>
  <conditionalFormatting sqref="AD1:AF1048576">
    <cfRule type="cellIs" dxfId="0" priority="1" operator="equal">
      <formula>0</formula>
    </cfRule>
  </conditionalFormatting>
  <dataValidations count="3">
    <dataValidation type="list" allowBlank="1" showInputMessage="1" showErrorMessage="1" sqref="F6:F7" xr:uid="{00000000-0002-0000-0400-000001000000}">
      <formula1>"Ⅰ,Ⅱ,Ⅲ,Ⅳ,Ⅴ,Ⅵ"</formula1>
    </dataValidation>
    <dataValidation type="list" allowBlank="1" showInputMessage="1" showErrorMessage="1" sqref="M6:M7" xr:uid="{00000000-0002-0000-0400-000006000000}">
      <formula1>"1.0,1.1,1.2,1.3,1.5,1.8,2.0"</formula1>
    </dataValidation>
    <dataValidation type="list" allowBlank="1" showInputMessage="1" showErrorMessage="1" sqref="O5:O7" xr:uid="{00000000-0002-0000-0400-00000A000000}">
      <formula1>"甲级,乙级,丙级"</formula1>
    </dataValidation>
  </dataValidations>
  <printOptions horizontalCentered="1"/>
  <pageMargins left="0.78680555555555598" right="0.59027777777777801" top="0.78680555555555598" bottom="0.59027777777777801" header="0.5" footer="0.196527777777778"/>
  <pageSetup paperSize="9" orientation="landscape" r:id="rId1"/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7"/>
  </sheetPr>
  <dimension ref="A1:U17"/>
  <sheetViews>
    <sheetView workbookViewId="0">
      <selection sqref="A1:R1"/>
    </sheetView>
  </sheetViews>
  <sheetFormatPr defaultColWidth="9" defaultRowHeight="22.5" customHeight="1" outlineLevelCol="1" x14ac:dyDescent="0.15"/>
  <cols>
    <col min="1" max="1" width="5.625" style="2" customWidth="1"/>
    <col min="2" max="2" width="5.5" style="2" customWidth="1"/>
    <col min="3" max="3" width="12.25" style="2" customWidth="1"/>
    <col min="4" max="4" width="11.25" style="2" customWidth="1"/>
    <col min="5" max="5" width="6.5" style="3" customWidth="1"/>
    <col min="6" max="6" width="7.5" style="2" customWidth="1"/>
    <col min="7" max="7" width="9.25" style="2" customWidth="1"/>
    <col min="8" max="8" width="9.75" style="4" customWidth="1"/>
    <col min="9" max="9" width="9.875" style="2" customWidth="1"/>
    <col min="10" max="11" width="9" style="5" hidden="1" customWidth="1" outlineLevel="1"/>
    <col min="12" max="12" width="9" style="5" hidden="1" outlineLevel="1"/>
    <col min="13" max="13" width="8.125" style="6" customWidth="1" collapsed="1"/>
    <col min="14" max="14" width="8.875" style="7" customWidth="1"/>
    <col min="15" max="15" width="8.75" style="2" customWidth="1"/>
    <col min="16" max="16" width="8.5" style="8" customWidth="1"/>
    <col min="17" max="17" width="9.25" style="9" customWidth="1"/>
    <col min="18" max="18" width="11.25" style="9" customWidth="1"/>
    <col min="19" max="16384" width="9" style="1"/>
  </cols>
  <sheetData>
    <row r="1" spans="1:21" ht="36" customHeight="1" x14ac:dyDescent="0.25">
      <c r="A1" s="254" t="s">
        <v>145</v>
      </c>
      <c r="B1" s="254"/>
      <c r="C1" s="254"/>
      <c r="D1" s="254"/>
      <c r="E1" s="254"/>
      <c r="F1" s="254"/>
      <c r="G1" s="254"/>
      <c r="H1" s="254"/>
      <c r="I1" s="254"/>
      <c r="J1" s="255"/>
      <c r="K1" s="255"/>
      <c r="L1" s="255"/>
      <c r="M1" s="254"/>
      <c r="N1" s="254"/>
      <c r="O1" s="254"/>
      <c r="P1" s="254"/>
      <c r="Q1" s="254"/>
      <c r="R1" s="254"/>
    </row>
    <row r="2" spans="1:21" ht="22.5" customHeight="1" x14ac:dyDescent="0.15">
      <c r="A2" s="192" t="s">
        <v>1</v>
      </c>
      <c r="B2" s="230" t="s">
        <v>21</v>
      </c>
      <c r="C2" s="230"/>
      <c r="D2" s="230"/>
      <c r="E2" s="230"/>
      <c r="F2" s="230"/>
      <c r="G2" s="230"/>
      <c r="H2" s="231" t="s">
        <v>38</v>
      </c>
      <c r="I2" s="192"/>
      <c r="J2" s="256"/>
      <c r="K2" s="256"/>
      <c r="L2" s="256"/>
      <c r="M2" s="192"/>
      <c r="N2" s="232"/>
      <c r="O2" s="192" t="s">
        <v>39</v>
      </c>
      <c r="P2" s="233"/>
      <c r="Q2" s="234"/>
      <c r="R2" s="32" t="s">
        <v>82</v>
      </c>
    </row>
    <row r="3" spans="1:21" ht="34.9" customHeight="1" x14ac:dyDescent="0.15">
      <c r="A3" s="212"/>
      <c r="B3" s="192" t="s">
        <v>2</v>
      </c>
      <c r="C3" s="192"/>
      <c r="D3" s="11" t="s">
        <v>43</v>
      </c>
      <c r="E3" s="16" t="s">
        <v>44</v>
      </c>
      <c r="F3" s="11" t="s">
        <v>83</v>
      </c>
      <c r="G3" s="11" t="s">
        <v>27</v>
      </c>
      <c r="H3" s="15" t="s">
        <v>28</v>
      </c>
      <c r="I3" s="11" t="s">
        <v>90</v>
      </c>
      <c r="J3" s="22"/>
      <c r="K3" s="22"/>
      <c r="L3" s="22"/>
      <c r="M3" s="26" t="s">
        <v>30</v>
      </c>
      <c r="N3" s="25" t="s">
        <v>13</v>
      </c>
      <c r="O3" s="11" t="s">
        <v>44</v>
      </c>
      <c r="P3" s="25" t="s">
        <v>45</v>
      </c>
      <c r="Q3" s="11" t="s">
        <v>13</v>
      </c>
      <c r="R3" s="32" t="s">
        <v>85</v>
      </c>
      <c r="S3" s="33"/>
      <c r="T3" s="33" t="s">
        <v>41</v>
      </c>
      <c r="U3" s="33" t="s">
        <v>42</v>
      </c>
    </row>
    <row r="4" spans="1:21" ht="22.5" customHeight="1" x14ac:dyDescent="0.15">
      <c r="A4" s="12">
        <v>1</v>
      </c>
      <c r="B4" s="219"/>
      <c r="C4" s="252" t="s">
        <v>100</v>
      </c>
      <c r="D4" s="253"/>
      <c r="E4" s="253"/>
      <c r="F4" s="253"/>
      <c r="G4" s="17" t="s">
        <v>101</v>
      </c>
      <c r="H4" s="18">
        <v>2000</v>
      </c>
      <c r="I4" s="17">
        <v>1</v>
      </c>
      <c r="J4" s="23"/>
      <c r="K4" s="23"/>
      <c r="L4" s="23"/>
      <c r="M4" s="27"/>
      <c r="N4" s="28">
        <f>I4*H4</f>
        <v>2000</v>
      </c>
      <c r="O4" s="19"/>
      <c r="P4" s="29"/>
      <c r="Q4" s="34"/>
      <c r="R4" s="35">
        <f>N4+Q4</f>
        <v>2000</v>
      </c>
    </row>
    <row r="5" spans="1:21" ht="22.5" customHeight="1" x14ac:dyDescent="0.15">
      <c r="A5" s="12">
        <v>2</v>
      </c>
      <c r="B5" s="219"/>
      <c r="C5" s="252" t="s">
        <v>102</v>
      </c>
      <c r="D5" s="253"/>
      <c r="E5" s="253"/>
      <c r="F5" s="253"/>
      <c r="G5" s="17" t="s">
        <v>99</v>
      </c>
      <c r="H5" s="18">
        <v>200000</v>
      </c>
      <c r="I5" s="17">
        <v>1</v>
      </c>
      <c r="J5" s="23"/>
      <c r="K5" s="23"/>
      <c r="L5" s="23"/>
      <c r="M5" s="27"/>
      <c r="N5" s="28">
        <f>I5*H5</f>
        <v>200000</v>
      </c>
      <c r="O5" s="19"/>
      <c r="P5" s="29"/>
      <c r="Q5" s="34"/>
      <c r="R5" s="35">
        <f>N5+Q5</f>
        <v>200000</v>
      </c>
    </row>
    <row r="6" spans="1:21" ht="22.5" customHeight="1" x14ac:dyDescent="0.15">
      <c r="A6" s="12">
        <v>3</v>
      </c>
      <c r="B6" s="251"/>
      <c r="C6" s="252" t="s">
        <v>103</v>
      </c>
      <c r="D6" s="253"/>
      <c r="E6" s="253"/>
      <c r="F6" s="253"/>
      <c r="G6" s="17" t="s">
        <v>99</v>
      </c>
      <c r="H6" s="18">
        <v>1000</v>
      </c>
      <c r="I6" s="17">
        <v>3</v>
      </c>
      <c r="J6" s="23"/>
      <c r="K6" s="23"/>
      <c r="L6" s="23"/>
      <c r="M6" s="27"/>
      <c r="N6" s="28">
        <f>I6*H6</f>
        <v>3000</v>
      </c>
      <c r="O6" s="19"/>
      <c r="P6" s="29"/>
      <c r="Q6" s="34"/>
      <c r="R6" s="35">
        <f>N6+Q6</f>
        <v>3000</v>
      </c>
    </row>
    <row r="7" spans="1:21" ht="22.5" customHeight="1" x14ac:dyDescent="0.15">
      <c r="A7" s="12">
        <v>4</v>
      </c>
      <c r="B7" s="251"/>
      <c r="C7" s="252" t="s">
        <v>104</v>
      </c>
      <c r="D7" s="253"/>
      <c r="E7" s="253"/>
      <c r="F7" s="253"/>
      <c r="G7" s="17" t="s">
        <v>99</v>
      </c>
      <c r="H7" s="18">
        <v>10000</v>
      </c>
      <c r="I7" s="17"/>
      <c r="J7" s="23"/>
      <c r="K7" s="23"/>
      <c r="L7" s="23"/>
      <c r="M7" s="27"/>
      <c r="N7" s="28">
        <f t="shared" ref="N7:N16" si="0">I7*H7</f>
        <v>0</v>
      </c>
      <c r="O7" s="19"/>
      <c r="P7" s="29"/>
      <c r="Q7" s="34"/>
      <c r="R7" s="35">
        <f t="shared" ref="R7:R16" si="1">N7+Q7</f>
        <v>0</v>
      </c>
    </row>
    <row r="8" spans="1:21" ht="22.5" customHeight="1" x14ac:dyDescent="0.15">
      <c r="A8" s="12">
        <v>5</v>
      </c>
      <c r="B8" s="251"/>
      <c r="C8" s="252" t="s">
        <v>105</v>
      </c>
      <c r="D8" s="253"/>
      <c r="E8" s="253"/>
      <c r="F8" s="253"/>
      <c r="G8" s="17" t="s">
        <v>98</v>
      </c>
      <c r="H8" s="18"/>
      <c r="I8" s="17"/>
      <c r="J8" s="23"/>
      <c r="K8" s="23"/>
      <c r="L8" s="23"/>
      <c r="M8" s="27"/>
      <c r="N8" s="28">
        <f t="shared" si="0"/>
        <v>0</v>
      </c>
      <c r="O8" s="19"/>
      <c r="P8" s="29"/>
      <c r="Q8" s="34"/>
      <c r="R8" s="35">
        <f t="shared" si="1"/>
        <v>0</v>
      </c>
    </row>
    <row r="9" spans="1:21" ht="27" customHeight="1" x14ac:dyDescent="0.15">
      <c r="A9" s="12">
        <v>6</v>
      </c>
      <c r="B9" s="251"/>
      <c r="C9" s="252" t="s">
        <v>106</v>
      </c>
      <c r="D9" s="253"/>
      <c r="E9" s="253"/>
      <c r="F9" s="253"/>
      <c r="G9" s="17" t="s">
        <v>98</v>
      </c>
      <c r="H9" s="18">
        <v>2000</v>
      </c>
      <c r="I9" s="17">
        <v>18</v>
      </c>
      <c r="J9" s="23"/>
      <c r="K9" s="23"/>
      <c r="L9" s="23"/>
      <c r="M9" s="27"/>
      <c r="N9" s="28">
        <f t="shared" si="0"/>
        <v>36000</v>
      </c>
      <c r="O9" s="19"/>
      <c r="P9" s="29"/>
      <c r="Q9" s="34"/>
      <c r="R9" s="35">
        <f t="shared" si="1"/>
        <v>36000</v>
      </c>
    </row>
    <row r="10" spans="1:21" ht="22.5" customHeight="1" x14ac:dyDescent="0.15">
      <c r="A10" s="12">
        <v>7</v>
      </c>
      <c r="B10" s="251"/>
      <c r="C10" s="252" t="s">
        <v>107</v>
      </c>
      <c r="D10" s="253"/>
      <c r="E10" s="253"/>
      <c r="F10" s="253"/>
      <c r="G10" s="17" t="s">
        <v>98</v>
      </c>
      <c r="H10" s="18">
        <v>500</v>
      </c>
      <c r="I10" s="17">
        <v>23</v>
      </c>
      <c r="J10" s="23"/>
      <c r="K10" s="23"/>
      <c r="L10" s="23"/>
      <c r="M10" s="27"/>
      <c r="N10" s="28">
        <f t="shared" si="0"/>
        <v>11500</v>
      </c>
      <c r="O10" s="19"/>
      <c r="P10" s="29"/>
      <c r="Q10" s="34"/>
      <c r="R10" s="35">
        <f t="shared" si="1"/>
        <v>11500</v>
      </c>
    </row>
    <row r="11" spans="1:21" ht="22.5" customHeight="1" x14ac:dyDescent="0.15">
      <c r="A11" s="12">
        <v>8</v>
      </c>
      <c r="B11" s="251"/>
      <c r="C11" s="252" t="s">
        <v>108</v>
      </c>
      <c r="D11" s="253"/>
      <c r="E11" s="253"/>
      <c r="F11" s="253"/>
      <c r="G11" s="17" t="s">
        <v>98</v>
      </c>
      <c r="H11" s="18">
        <v>10000</v>
      </c>
      <c r="I11" s="17">
        <v>5</v>
      </c>
      <c r="J11" s="23"/>
      <c r="K11" s="23"/>
      <c r="L11" s="23"/>
      <c r="M11" s="27"/>
      <c r="N11" s="28">
        <f t="shared" si="0"/>
        <v>50000</v>
      </c>
      <c r="O11" s="19"/>
      <c r="P11" s="29"/>
      <c r="Q11" s="34"/>
      <c r="R11" s="35">
        <f t="shared" si="1"/>
        <v>50000</v>
      </c>
    </row>
    <row r="12" spans="1:21" ht="22.5" customHeight="1" x14ac:dyDescent="0.15">
      <c r="A12" s="12">
        <v>9</v>
      </c>
      <c r="B12" s="251"/>
      <c r="C12" s="252" t="s">
        <v>109</v>
      </c>
      <c r="D12" s="253"/>
      <c r="E12" s="253"/>
      <c r="F12" s="253"/>
      <c r="G12" s="17" t="s">
        <v>98</v>
      </c>
      <c r="H12" s="18">
        <v>1000</v>
      </c>
      <c r="I12" s="17">
        <v>23</v>
      </c>
      <c r="J12" s="23"/>
      <c r="K12" s="23"/>
      <c r="L12" s="23"/>
      <c r="M12" s="27"/>
      <c r="N12" s="28">
        <f t="shared" si="0"/>
        <v>23000</v>
      </c>
      <c r="O12" s="19"/>
      <c r="P12" s="29"/>
      <c r="Q12" s="34"/>
      <c r="R12" s="35">
        <f t="shared" si="1"/>
        <v>23000</v>
      </c>
    </row>
    <row r="13" spans="1:21" ht="22.5" customHeight="1" x14ac:dyDescent="0.15">
      <c r="A13" s="12">
        <v>10</v>
      </c>
      <c r="B13" s="251"/>
      <c r="C13" s="252" t="s">
        <v>110</v>
      </c>
      <c r="D13" s="253"/>
      <c r="E13" s="253"/>
      <c r="F13" s="253"/>
      <c r="G13" s="17" t="s">
        <v>101</v>
      </c>
      <c r="H13" s="18">
        <v>10000</v>
      </c>
      <c r="I13" s="17">
        <v>2</v>
      </c>
      <c r="J13" s="23"/>
      <c r="K13" s="23"/>
      <c r="L13" s="23"/>
      <c r="M13" s="27"/>
      <c r="N13" s="28">
        <f t="shared" si="0"/>
        <v>20000</v>
      </c>
      <c r="O13" s="19"/>
      <c r="P13" s="29"/>
      <c r="Q13" s="34"/>
      <c r="R13" s="35">
        <f t="shared" si="1"/>
        <v>20000</v>
      </c>
    </row>
    <row r="14" spans="1:21" ht="22.5" customHeight="1" x14ac:dyDescent="0.15">
      <c r="A14" s="12">
        <v>11</v>
      </c>
      <c r="B14" s="251"/>
      <c r="C14" s="248" t="s">
        <v>111</v>
      </c>
      <c r="D14" s="249"/>
      <c r="E14" s="249"/>
      <c r="F14" s="249"/>
      <c r="G14" s="17" t="s">
        <v>98</v>
      </c>
      <c r="H14" s="18">
        <v>1500</v>
      </c>
      <c r="I14" s="17">
        <v>18</v>
      </c>
      <c r="J14" s="23"/>
      <c r="K14" s="23"/>
      <c r="L14" s="23"/>
      <c r="M14" s="27"/>
      <c r="N14" s="28">
        <f t="shared" si="0"/>
        <v>27000</v>
      </c>
      <c r="O14" s="19"/>
      <c r="P14" s="29"/>
      <c r="Q14" s="34"/>
      <c r="R14" s="35">
        <f t="shared" si="1"/>
        <v>27000</v>
      </c>
    </row>
    <row r="15" spans="1:21" ht="22.5" customHeight="1" x14ac:dyDescent="0.15">
      <c r="A15" s="12">
        <v>12</v>
      </c>
      <c r="B15" s="13"/>
      <c r="C15" s="248" t="s">
        <v>112</v>
      </c>
      <c r="D15" s="249"/>
      <c r="E15" s="249"/>
      <c r="F15" s="249"/>
      <c r="G15" s="17" t="s">
        <v>97</v>
      </c>
      <c r="H15" s="19">
        <v>10</v>
      </c>
      <c r="I15" s="17">
        <v>106</v>
      </c>
      <c r="J15" s="23"/>
      <c r="K15" s="23"/>
      <c r="L15" s="23"/>
      <c r="M15" s="27"/>
      <c r="N15" s="28">
        <f t="shared" si="0"/>
        <v>1060</v>
      </c>
      <c r="O15" s="19"/>
      <c r="P15" s="29"/>
      <c r="Q15" s="34"/>
      <c r="R15" s="35">
        <f t="shared" si="1"/>
        <v>1060</v>
      </c>
    </row>
    <row r="16" spans="1:21" ht="22.5" customHeight="1" x14ac:dyDescent="0.15">
      <c r="A16" s="12">
        <v>13</v>
      </c>
      <c r="B16" s="13"/>
      <c r="C16" s="248" t="s">
        <v>113</v>
      </c>
      <c r="D16" s="249"/>
      <c r="E16" s="249"/>
      <c r="F16" s="249"/>
      <c r="G16" s="17" t="s">
        <v>101</v>
      </c>
      <c r="H16" s="18">
        <v>10000</v>
      </c>
      <c r="I16" s="17">
        <v>2</v>
      </c>
      <c r="J16" s="23"/>
      <c r="K16" s="23"/>
      <c r="L16" s="23"/>
      <c r="M16" s="27"/>
      <c r="N16" s="28">
        <f t="shared" si="0"/>
        <v>20000</v>
      </c>
      <c r="O16" s="19"/>
      <c r="P16" s="29"/>
      <c r="Q16" s="34"/>
      <c r="R16" s="35">
        <f t="shared" si="1"/>
        <v>20000</v>
      </c>
    </row>
    <row r="17" spans="1:18" ht="22.5" customHeight="1" x14ac:dyDescent="0.15">
      <c r="A17" s="250" t="s">
        <v>37</v>
      </c>
      <c r="B17" s="250"/>
      <c r="C17" s="250"/>
      <c r="D17" s="250"/>
      <c r="E17" s="250"/>
      <c r="F17" s="250"/>
      <c r="G17" s="20"/>
      <c r="H17" s="21"/>
      <c r="I17" s="20"/>
      <c r="J17" s="24"/>
      <c r="K17" s="24"/>
      <c r="L17" s="24"/>
      <c r="M17" s="20"/>
      <c r="N17" s="30">
        <f>SUM(N4:N16)</f>
        <v>393560</v>
      </c>
      <c r="O17" s="20"/>
      <c r="P17" s="31"/>
      <c r="Q17" s="36">
        <f>SUM(Q4:Q14)</f>
        <v>0</v>
      </c>
      <c r="R17" s="30">
        <f>SUM(R4:R16)</f>
        <v>393560</v>
      </c>
    </row>
  </sheetData>
  <mergeCells count="21">
    <mergeCell ref="A1:R1"/>
    <mergeCell ref="B2:G2"/>
    <mergeCell ref="H2:N2"/>
    <mergeCell ref="O2:Q2"/>
    <mergeCell ref="B3:C3"/>
    <mergeCell ref="C14:F14"/>
    <mergeCell ref="C15:F15"/>
    <mergeCell ref="C16:F16"/>
    <mergeCell ref="A17:F17"/>
    <mergeCell ref="A2:A3"/>
    <mergeCell ref="B4:B14"/>
    <mergeCell ref="C9:F9"/>
    <mergeCell ref="C10:F10"/>
    <mergeCell ref="C11:F11"/>
    <mergeCell ref="C12:F12"/>
    <mergeCell ref="C13:F13"/>
    <mergeCell ref="C4:F4"/>
    <mergeCell ref="C5:F5"/>
    <mergeCell ref="C6:F6"/>
    <mergeCell ref="C7:F7"/>
    <mergeCell ref="C8:F8"/>
  </mergeCells>
  <phoneticPr fontId="9" type="noConversion"/>
  <dataValidations count="1">
    <dataValidation type="list" allowBlank="1" showInputMessage="1" showErrorMessage="1" sqref="O4:O16" xr:uid="{00000000-0002-0000-0500-000000000000}">
      <formula1>"甲级,乙级,丙级,试验"</formula1>
    </dataValidation>
  </dataValidations>
  <printOptions horizontalCentered="1"/>
  <pageMargins left="0.78680555555555598" right="0.59027777777777801" top="0.78680555555555598" bottom="0.59027777777777801" header="0.5" footer="0.196527777777778"/>
  <pageSetup paperSize="9" orientation="landscape"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9</vt:i4>
      </vt:variant>
    </vt:vector>
  </HeadingPairs>
  <TitlesOfParts>
    <vt:vector size="15" baseType="lpstr">
      <vt:lpstr>费用汇总</vt:lpstr>
      <vt:lpstr>表1-长输管道工程勘测费用</vt:lpstr>
      <vt:lpstr>表2-通用工程测量费用</vt:lpstr>
      <vt:lpstr>表3-地质测绘</vt:lpstr>
      <vt:lpstr>表4-通用工程勘察费用</vt:lpstr>
      <vt:lpstr>表5-其他费用</vt:lpstr>
      <vt:lpstr>'表2-通用工程测量费用'!_FilterDatabase</vt:lpstr>
      <vt:lpstr>'表3-地质测绘'!_FilterDatabase</vt:lpstr>
      <vt:lpstr>'表4-通用工程勘察费用'!_FilterDatabase</vt:lpstr>
      <vt:lpstr>'表2-通用工程测量费用'!Print_Area</vt:lpstr>
      <vt:lpstr>'表3-地质测绘'!Print_Area</vt:lpstr>
      <vt:lpstr>'表5-其他费用'!Print_Area</vt:lpstr>
      <vt:lpstr>费用汇总!Print_Area</vt:lpstr>
      <vt:lpstr>'表2-通用工程测量费用'!Print_Titles</vt:lpstr>
      <vt:lpstr>'表4-通用工程勘察费用'!Print_Titles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萌 石</cp:lastModifiedBy>
  <dcterms:created xsi:type="dcterms:W3CDTF">2020-03-06T04:10:00Z</dcterms:created>
  <dcterms:modified xsi:type="dcterms:W3CDTF">2026-08-14T17:20:50Z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2052-12.8.2.19313</vt:lpwstr>
  </property>
  <property fmtid="{D5CDD505-2E9C-101B-9397-08002B2CF9AE}" pid="3" name="ICV">
    <vt:lpwstr>D90FEBA6341958DA7696466841050968_43</vt:lpwstr>
  </property>
</Properties>
</file>