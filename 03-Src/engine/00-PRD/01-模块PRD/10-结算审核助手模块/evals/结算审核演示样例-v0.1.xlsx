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50" windowHeight="12280" tabRatio="787" firstSheet="0" activeTab="2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表1 测量费，注所有单体都放一张表中" sheetId="2" state="visible" r:id="rId2"/>
    <sheet xmlns:r="http://schemas.openxmlformats.org/officeDocument/2006/relationships" name="表2-1 XX勘察费，注每个单体一张表" sheetId="3" state="visible" r:id="rId3"/>
    <sheet xmlns:r="http://schemas.openxmlformats.org/officeDocument/2006/relationships" name="表3 其他费用(一次报送)" sheetId="4" state="visible" r:id="rId4"/>
    <sheet xmlns:r="http://schemas.openxmlformats.org/officeDocument/2006/relationships" name="演示样例说明" sheetId="5" state="visible" r:id="rId5"/>
  </sheets>
  <definedNames>
    <definedName name="_xlnm.Print_Area" localSheetId="0">'汇总表'!$A$1:$K$26</definedName>
    <definedName name="_xlnm.Print_Titles" localSheetId="1">'表1 测量费，注所有单体都放一张表中'!$1:$4</definedName>
    <definedName name="_xlnm.Print_Area" localSheetId="1">'表1 测量费，注所有单体都放一张表中'!$A$1:$AC$80</definedName>
    <definedName name="_xlnm._FilterDatabase" localSheetId="2" hidden="1">'表2-1 XX勘察费，注每个单体一张表'!$A$4:$XCU$210</definedName>
    <definedName name="_xlnm.Print_Titles" localSheetId="2">'表2-1 XX勘察费，注每个单体一张表'!$1:$4</definedName>
    <definedName name="_xlnm.Print_Area" localSheetId="2">'表2-1 XX勘察费，注每个单体一张表'!$A$1:$AE$210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_ "/>
    <numFmt numFmtId="165" formatCode="0.00_);\(0.00\)"/>
    <numFmt numFmtId="166" formatCode="0.00_ "/>
    <numFmt numFmtId="167" formatCode="0.00_);[Red]\(0.00\)"/>
    <numFmt numFmtId="168" formatCode="0_);[Red]\(0\)"/>
  </numFmts>
  <fonts count="43">
    <font>
      <name val="宋体"/>
      <charset val="134"/>
      <color theme="1"/>
      <sz val="11"/>
      <scheme val="minor"/>
    </font>
    <font>
      <name val="仿宋_GB2312"/>
      <charset val="134"/>
      <b val="1"/>
      <sz val="14"/>
    </font>
    <font>
      <name val="宋体"/>
      <charset val="134"/>
      <sz val="10"/>
      <scheme val="minor"/>
    </font>
    <font>
      <name val="仿宋_GB2312"/>
      <charset val="134"/>
      <sz val="12"/>
    </font>
    <font>
      <name val="宋体"/>
      <charset val="134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10"/>
      <scheme val="minor"/>
    </font>
    <font>
      <name val="仿宋_GB2312"/>
      <charset val="134"/>
      <color rgb="FFFF0000"/>
      <sz val="9"/>
    </font>
    <font>
      <name val="仿宋_GB2312"/>
      <charset val="134"/>
      <sz val="14"/>
    </font>
    <font>
      <name val="宋体"/>
      <charset val="134"/>
      <b val="1"/>
      <sz val="10"/>
      <scheme val="minor"/>
    </font>
    <font>
      <name val="宋体"/>
      <charset val="134"/>
      <color theme="1"/>
      <sz val="10"/>
    </font>
    <font>
      <name val="宋体"/>
      <charset val="134"/>
      <sz val="10"/>
    </font>
    <font>
      <name val="宋体"/>
      <charset val="134"/>
      <sz val="9"/>
      <scheme val="minor"/>
    </font>
    <font>
      <name val="宋体"/>
      <charset val="134"/>
      <b val="1"/>
      <sz val="9"/>
      <scheme val="minor"/>
    </font>
    <font>
      <name val="宋体"/>
      <charset val="134"/>
      <color rgb="FF000000"/>
      <sz val="9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  <vertAlign val="superscript"/>
      <scheme val="minor"/>
    </font>
    <font>
      <name val="宋体"/>
      <charset val="134"/>
      <sz val="10"/>
      <vertAlign val="superscript"/>
      <scheme val="minor"/>
    </font>
    <font>
      <name val="等线"/>
      <b val="1"/>
      <color rgb="00FFFFFF"/>
      <sz val="18"/>
    </font>
    <font>
      <name val="等线"/>
      <b val="1"/>
      <color rgb="00163B65"/>
      <sz val="10"/>
    </font>
    <font>
      <name val="等线"/>
      <b val="1"/>
      <color rgb="00FFFFFF"/>
      <sz val="10"/>
    </font>
    <font>
      <name val="等线"/>
      <color rgb="00172033"/>
      <sz val="10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63B65"/>
      </patternFill>
    </fill>
    <fill>
      <patternFill patternType="solid">
        <fgColor rgb="00EAF2FF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0" fillId="4" borderId="1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11" applyAlignment="1">
      <alignment vertical="center"/>
    </xf>
    <xf numFmtId="0" fontId="24" fillId="0" borderId="11" applyAlignment="1">
      <alignment vertical="center"/>
    </xf>
    <xf numFmtId="0" fontId="25" fillId="0" borderId="12" applyAlignment="1">
      <alignment vertical="center"/>
    </xf>
    <xf numFmtId="0" fontId="25" fillId="0" borderId="0" applyAlignment="1">
      <alignment vertical="center"/>
    </xf>
    <xf numFmtId="0" fontId="26" fillId="5" borderId="13" applyAlignment="1">
      <alignment vertical="center"/>
    </xf>
    <xf numFmtId="0" fontId="27" fillId="6" borderId="14" applyAlignment="1">
      <alignment vertical="center"/>
    </xf>
    <xf numFmtId="0" fontId="28" fillId="6" borderId="13" applyAlignment="1">
      <alignment vertical="center"/>
    </xf>
    <xf numFmtId="0" fontId="29" fillId="7" borderId="15" applyAlignment="1">
      <alignment vertical="center"/>
    </xf>
    <xf numFmtId="0" fontId="30" fillId="0" borderId="16" applyAlignment="1">
      <alignment vertical="center"/>
    </xf>
    <xf numFmtId="0" fontId="31" fillId="0" borderId="17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6" fillId="13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5" fillId="30" borderId="0" applyAlignment="1">
      <alignment vertical="center"/>
    </xf>
    <xf numFmtId="0" fontId="35" fillId="3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5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27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164" fontId="1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50">
      <alignment horizontal="center" vertical="center" wrapText="1"/>
    </xf>
    <xf numFmtId="164" fontId="3" fillId="0" borderId="2" applyAlignment="1" pivotButton="0" quotePrefix="0" xfId="0">
      <alignment horizontal="center"/>
    </xf>
    <xf numFmtId="164" fontId="2" fillId="0" borderId="3" applyAlignment="1" pivotButton="0" quotePrefix="0" xfId="50">
      <alignment horizontal="center" vertical="center" wrapText="1"/>
    </xf>
    <xf numFmtId="164" fontId="2" fillId="0" borderId="1" applyAlignment="1" pivotButton="0" quotePrefix="0" xfId="50">
      <alignment vertical="center"/>
    </xf>
    <xf numFmtId="164" fontId="4" fillId="0" borderId="1" applyAlignment="1" pivotButton="0" quotePrefix="0" xfId="50">
      <alignment horizontal="center" vertical="center"/>
    </xf>
    <xf numFmtId="164" fontId="4" fillId="0" borderId="1" applyAlignment="1" pivotButton="0" quotePrefix="0" xfId="50">
      <alignment vertical="center"/>
    </xf>
    <xf numFmtId="164" fontId="1" fillId="0" borderId="0" pivotButton="0" quotePrefix="0" xfId="0"/>
    <xf numFmtId="164" fontId="3" fillId="0" borderId="3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164" fontId="2" fillId="2" borderId="1" applyAlignment="1" pivotButton="0" quotePrefix="0" xfId="50">
      <alignment horizontal="center" vertical="center" wrapText="1"/>
    </xf>
    <xf numFmtId="164" fontId="2" fillId="0" borderId="1" applyAlignment="1" pivotButton="0" quotePrefix="0" xfId="0">
      <alignment vertical="center"/>
    </xf>
    <xf numFmtId="164" fontId="2" fillId="2" borderId="1" applyAlignment="1" pivotButton="0" quotePrefix="0" xfId="50">
      <alignment vertical="center"/>
    </xf>
    <xf numFmtId="164" fontId="0" fillId="0" borderId="1" applyAlignment="1" pivotButton="0" quotePrefix="0" xfId="0">
      <alignment vertical="center"/>
    </xf>
    <xf numFmtId="164" fontId="4" fillId="2" borderId="1" applyAlignment="1" pivotButton="0" quotePrefix="0" xfId="5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49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right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 wrapText="1"/>
    </xf>
    <xf numFmtId="167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right" vertical="center" wrapText="1"/>
    </xf>
    <xf numFmtId="167" fontId="2" fillId="0" borderId="1" applyAlignment="1" pivotButton="0" quotePrefix="0" xfId="0">
      <alignment horizontal="right" vertical="center" wrapText="1"/>
    </xf>
    <xf numFmtId="164" fontId="2" fillId="0" borderId="5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1" fillId="2" borderId="1" applyAlignment="1" pivotButton="0" quotePrefix="0" xfId="49">
      <alignment horizontal="center" vertical="center" wrapText="1"/>
    </xf>
    <xf numFmtId="164" fontId="11" fillId="2" borderId="1" applyAlignment="1" pivotButton="0" quotePrefix="0" xfId="49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 shrinkToFit="1"/>
    </xf>
    <xf numFmtId="0" fontId="0" fillId="0" borderId="7" applyAlignment="1" pivotButton="0" quotePrefix="0" xfId="0">
      <alignment vertical="center" wrapText="1"/>
    </xf>
    <xf numFmtId="0" fontId="2" fillId="2" borderId="2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1" fillId="0" borderId="1" applyAlignment="1" pivotButton="0" quotePrefix="0" xfId="49">
      <alignment horizontal="center" vertical="center" wrapText="1"/>
    </xf>
    <xf numFmtId="164" fontId="11" fillId="0" borderId="1" applyAlignment="1" pivotButton="0" quotePrefix="0" xfId="49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9" fontId="11" fillId="0" borderId="1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164" fontId="6" fillId="0" borderId="8" applyAlignment="1" pivotButton="0" quotePrefix="0" xfId="0">
      <alignment horizontal="right" vertical="center"/>
    </xf>
    <xf numFmtId="166" fontId="6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6" fillId="2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wrapText="1"/>
    </xf>
    <xf numFmtId="0" fontId="0" fillId="2" borderId="4" applyAlignment="1" pivotButton="0" quotePrefix="0" xfId="0">
      <alignment horizontal="center" vertical="center"/>
    </xf>
    <xf numFmtId="167" fontId="9" fillId="0" borderId="1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 wrapText="1"/>
    </xf>
    <xf numFmtId="0" fontId="11" fillId="2" borderId="5" applyAlignment="1" pivotButton="0" quotePrefix="0" xfId="49">
      <alignment horizontal="center" vertical="center" wrapText="1"/>
    </xf>
    <xf numFmtId="0" fontId="11" fillId="2" borderId="8" applyAlignment="1" pivotButton="0" quotePrefix="0" xfId="49">
      <alignment horizontal="center" vertical="center" wrapText="1"/>
    </xf>
    <xf numFmtId="168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wrapText="1" shrinkToFit="1"/>
    </xf>
    <xf numFmtId="0" fontId="6" fillId="0" borderId="7" applyAlignment="1" pivotButton="0" quotePrefix="0" xfId="0">
      <alignment vertical="center" wrapText="1"/>
    </xf>
    <xf numFmtId="168" fontId="6" fillId="0" borderId="8" applyAlignment="1" pivotButton="0" quotePrefix="0" xfId="0">
      <alignment horizontal="center" vertical="center"/>
    </xf>
    <xf numFmtId="167" fontId="6" fillId="0" borderId="8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1" fillId="0" borderId="5" applyAlignment="1" pivotButton="0" quotePrefix="0" xfId="49">
      <alignment horizontal="center" vertical="center" wrapText="1"/>
    </xf>
    <xf numFmtId="0" fontId="11" fillId="0" borderId="8" applyAlignment="1" pivotButton="0" quotePrefix="0" xfId="49">
      <alignment horizontal="center" vertical="center" wrapText="1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64" fontId="6" fillId="2" borderId="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8" fontId="2" fillId="0" borderId="8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 wrapText="1"/>
    </xf>
    <xf numFmtId="164" fontId="4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5" fillId="0" borderId="0" applyAlignment="1" pivotButton="0" quotePrefix="0" xfId="0">
      <alignment horizontal="center" wrapText="1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49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1" fillId="3" borderId="1" applyAlignment="1" pivotButton="0" quotePrefix="0" xfId="49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8" fontId="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168" fontId="16" fillId="0" borderId="1" applyAlignment="1" pivotButton="0" quotePrefix="0" xfId="0">
      <alignment horizontal="center"/>
    </xf>
    <xf numFmtId="168" fontId="1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left"/>
    </xf>
    <xf numFmtId="168" fontId="6" fillId="0" borderId="4" applyAlignment="1" pivotButton="0" quotePrefix="0" xfId="0">
      <alignment horizontal="center"/>
    </xf>
    <xf numFmtId="168" fontId="6" fillId="0" borderId="3" applyAlignment="1" pivotButton="0" quotePrefix="0" xfId="0">
      <alignment horizontal="center"/>
    </xf>
    <xf numFmtId="168" fontId="6" fillId="0" borderId="1" pivotButton="0" quotePrefix="0" xfId="0"/>
    <xf numFmtId="168" fontId="16" fillId="0" borderId="4" applyAlignment="1" pivotButton="0" quotePrefix="0" xfId="0">
      <alignment horizontal="center"/>
    </xf>
    <xf numFmtId="168" fontId="16" fillId="0" borderId="3" applyAlignment="1" pivotButton="0" quotePrefix="0" xfId="0">
      <alignment horizontal="center"/>
    </xf>
    <xf numFmtId="168" fontId="16" fillId="0" borderId="1" pivotButton="0" quotePrefix="0" xfId="0"/>
    <xf numFmtId="168" fontId="6" fillId="0" borderId="1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3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2" fillId="0" borderId="1" applyAlignment="1" pivotButton="0" quotePrefix="1" xfId="50">
      <alignment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168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 vertical="center"/>
    </xf>
    <xf numFmtId="168" fontId="16" fillId="0" borderId="1" applyAlignment="1" pivotButton="0" quotePrefix="0" xfId="0">
      <alignment horizontal="center"/>
    </xf>
    <xf numFmtId="168" fontId="16" fillId="0" borderId="1" applyAlignment="1" pivotButton="0" quotePrefix="0" xfId="0">
      <alignment horizontal="center" vertical="center"/>
    </xf>
    <xf numFmtId="168" fontId="6" fillId="0" borderId="1" pivotButton="0" quotePrefix="0" xfId="0"/>
    <xf numFmtId="168" fontId="16" fillId="0" borderId="1" pivotButton="0" quotePrefix="0" xfId="0"/>
    <xf numFmtId="0" fontId="0" fillId="0" borderId="6" pivotButton="0" quotePrefix="0" xfId="0"/>
    <xf numFmtId="168" fontId="6" fillId="0" borderId="1" applyAlignment="1" pivotButton="0" quotePrefix="0" xfId="0">
      <alignment horizontal="left"/>
    </xf>
    <xf numFmtId="167" fontId="0" fillId="0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167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8" fontId="6" fillId="0" borderId="8" applyAlignment="1" pivotButton="0" quotePrefix="0" xfId="0">
      <alignment horizontal="center" vertical="center"/>
    </xf>
    <xf numFmtId="167" fontId="6" fillId="0" borderId="8" applyAlignment="1" pivotButton="0" quotePrefix="0" xfId="0">
      <alignment horizontal="center" vertical="center"/>
    </xf>
    <xf numFmtId="164" fontId="6" fillId="2" borderId="8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168" fontId="2" fillId="0" borderId="8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164" fontId="11" fillId="2" borderId="1" applyAlignment="1" pivotButton="0" quotePrefix="0" xfId="49">
      <alignment horizontal="center" vertical="center" wrapText="1"/>
    </xf>
    <xf numFmtId="164" fontId="11" fillId="0" borderId="1" applyAlignment="1" pivotButton="0" quotePrefix="0" xfId="49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 wrapText="1"/>
    </xf>
    <xf numFmtId="164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 wrapText="1"/>
    </xf>
    <xf numFmtId="167" fontId="2" fillId="0" borderId="1" applyAlignment="1" pivotButton="0" quotePrefix="0" xfId="0">
      <alignment horizontal="right" vertical="center" wrapText="1"/>
    </xf>
    <xf numFmtId="167" fontId="2" fillId="0" borderId="5" applyAlignment="1" pivotButton="0" quotePrefix="0" xfId="0">
      <alignment horizontal="center" vertical="center" wrapText="1"/>
    </xf>
    <xf numFmtId="164" fontId="2" fillId="0" borderId="5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64" fontId="6" fillId="0" borderId="8" applyAlignment="1" pivotButton="0" quotePrefix="0" xfId="0">
      <alignment horizontal="right" vertical="center"/>
    </xf>
    <xf numFmtId="166" fontId="6" fillId="0" borderId="8" applyAlignment="1" pivotButton="0" quotePrefix="0" xfId="0">
      <alignment horizontal="center" vertical="center"/>
    </xf>
    <xf numFmtId="164" fontId="6" fillId="2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0" fillId="0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2" fillId="0" borderId="1" applyAlignment="1" pivotButton="0" quotePrefix="0" xfId="50">
      <alignment horizontal="center" vertical="center" wrapText="1"/>
    </xf>
    <xf numFmtId="164" fontId="3" fillId="0" borderId="3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4" fontId="2" fillId="0" borderId="3" applyAlignment="1" pivotButton="0" quotePrefix="0" xfId="5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4" fontId="2" fillId="2" borderId="1" applyAlignment="1" pivotButton="0" quotePrefix="0" xfId="50">
      <alignment horizontal="center" vertical="center" wrapText="1"/>
    </xf>
    <xf numFmtId="164" fontId="2" fillId="2" borderId="1" applyAlignment="1" pivotButton="0" quotePrefix="0" xfId="0">
      <alignment horizontal="center" vertical="center"/>
    </xf>
    <xf numFmtId="164" fontId="2" fillId="0" borderId="1" applyAlignment="1" pivotButton="0" quotePrefix="1" xfId="50">
      <alignment vertical="center"/>
    </xf>
    <xf numFmtId="164" fontId="2" fillId="0" borderId="1" applyAlignment="1" pivotButton="0" quotePrefix="0" xfId="50">
      <alignment vertical="center"/>
    </xf>
    <xf numFmtId="164" fontId="2" fillId="0" borderId="1" applyAlignment="1" pivotButton="0" quotePrefix="0" xfId="0">
      <alignment vertical="center"/>
    </xf>
    <xf numFmtId="164" fontId="2" fillId="2" borderId="1" applyAlignment="1" pivotButton="0" quotePrefix="0" xfId="50">
      <alignment vertical="center"/>
    </xf>
    <xf numFmtId="164" fontId="2" fillId="2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4" fillId="0" borderId="1" applyAlignment="1" pivotButton="0" quotePrefix="0" xfId="50">
      <alignment horizontal="center" vertical="center"/>
    </xf>
    <xf numFmtId="164" fontId="4" fillId="0" borderId="1" applyAlignment="1" pivotButton="0" quotePrefix="0" xfId="50">
      <alignment vertical="center"/>
    </xf>
    <xf numFmtId="164" fontId="4" fillId="2" borderId="1" applyAlignment="1" pivotButton="0" quotePrefix="0" xfId="50">
      <alignment vertical="center"/>
    </xf>
    <xf numFmtId="0" fontId="39" fillId="34" borderId="0" applyAlignment="1" pivotButton="0" quotePrefix="0" xfId="0">
      <alignment vertical="center"/>
    </xf>
    <xf numFmtId="0" fontId="40" fillId="35" borderId="0" pivotButton="0" quotePrefix="0" xfId="0"/>
    <xf numFmtId="0" fontId="41" fillId="36" borderId="0" pivotButton="0" quotePrefix="0" xfId="0"/>
    <xf numFmtId="0" fontId="42" fillId="37" borderId="0" applyAlignment="1" pivotButton="0" quotePrefix="0" xfId="0">
      <alignment vertical="top" wrapText="1"/>
    </xf>
    <xf numFmtId="0" fontId="42" fillId="38" borderId="0" applyAlignment="1" pivotButton="0" quotePrefix="0" xfId="0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11</col>
      <colOff>793750</colOff>
      <row>14</row>
      <rowOff>67945</rowOff>
    </from>
    <to>
      <col>15</col>
      <colOff>612140</colOff>
      <row>20</row>
      <rowOff>76200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807700" y="2995295"/>
          <a:ext cx="3425190" cy="1227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814070</colOff>
      <row>19</row>
      <rowOff>154940</rowOff>
    </from>
    <to>
      <col>15</col>
      <colOff>556895</colOff>
      <row>33</row>
      <rowOff>109855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828020" y="4123690"/>
          <a:ext cx="3349625" cy="2444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812800</colOff>
      <row>4</row>
      <rowOff>120650</rowOff>
    </from>
    <to>
      <col>19</col>
      <colOff>330200</colOff>
      <row>12</row>
      <rowOff>127000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0826750" y="1270000"/>
          <a:ext cx="5867400" cy="1428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view="pageBreakPreview" zoomScaleNormal="100" workbookViewId="0">
      <selection activeCell="D8" sqref="D8"/>
    </sheetView>
  </sheetViews>
  <sheetFormatPr baseColWidth="8" defaultColWidth="9.81818181818182" defaultRowHeight="14"/>
  <cols>
    <col width="9.81818181818182" customWidth="1" style="186" min="1" max="1"/>
    <col width="21.0909090909091" customWidth="1" style="186" min="2" max="2"/>
    <col width="14.6363636363636" customWidth="1" style="186" min="3" max="3"/>
    <col width="12.0909090909091" customWidth="1" style="186" min="4" max="4"/>
    <col width="13.1818181818182" customWidth="1" style="186" min="5" max="5"/>
    <col width="12.0909090909091" customWidth="1" style="186" min="6" max="11"/>
    <col width="16" customWidth="1" style="186" min="12" max="13"/>
    <col width="9.81818181818182" customWidth="1" style="186" min="14" max="16384"/>
  </cols>
  <sheetData>
    <row r="1" ht="37.5" customHeight="1" s="186">
      <c r="A1" s="160" t="inlineStr">
        <is>
          <t>长输管道示范工程可行性研究阶段勘察测量结算费用汇总表
                                                                                                                               单位：万元</t>
        </is>
      </c>
    </row>
    <row r="2" ht="19" customHeight="1" s="186">
      <c r="A2" s="161" t="inlineStr">
        <is>
          <t>序号</t>
        </is>
      </c>
      <c r="B2" s="161" t="inlineStr">
        <is>
          <t>项目名称</t>
        </is>
      </c>
      <c r="C2" s="162" t="inlineStr">
        <is>
          <t>承包商上报</t>
        </is>
      </c>
      <c r="D2" s="195" t="n"/>
      <c r="E2" s="196" t="n"/>
      <c r="F2" s="162" t="inlineStr">
        <is>
          <t xml:space="preserve">专业审核                      </t>
        </is>
      </c>
      <c r="G2" s="195" t="n"/>
      <c r="H2" s="196" t="n"/>
      <c r="I2" s="162" t="inlineStr">
        <is>
          <t xml:space="preserve">造价审核                </t>
        </is>
      </c>
      <c r="J2" s="195" t="n"/>
      <c r="K2" s="196" t="n"/>
      <c r="M2" s="187" t="inlineStr">
        <is>
          <t>2024版其他费用系数</t>
        </is>
      </c>
      <c r="N2" s="190" t="inlineStr">
        <is>
          <t>框架协议</t>
        </is>
      </c>
      <c r="O2" s="196" t="n"/>
    </row>
    <row r="3" ht="20" customHeight="1" s="186">
      <c r="A3" s="197" t="n"/>
      <c r="B3" s="197" t="n"/>
      <c r="C3" s="164" t="inlineStr">
        <is>
          <t>测量费</t>
        </is>
      </c>
      <c r="D3" s="164" t="inlineStr">
        <is>
          <t>勘察费</t>
        </is>
      </c>
      <c r="E3" s="161" t="inlineStr">
        <is>
          <t>备注</t>
        </is>
      </c>
      <c r="F3" s="165" t="inlineStr">
        <is>
          <t>测量费</t>
        </is>
      </c>
      <c r="G3" s="165" t="inlineStr">
        <is>
          <t>勘察费</t>
        </is>
      </c>
      <c r="H3" s="165" t="inlineStr">
        <is>
          <t>审减额</t>
        </is>
      </c>
      <c r="I3" s="165" t="inlineStr">
        <is>
          <t>测量费</t>
        </is>
      </c>
      <c r="J3" s="165" t="inlineStr">
        <is>
          <t>勘察费</t>
        </is>
      </c>
      <c r="K3" s="165" t="inlineStr">
        <is>
          <t>审减额</t>
        </is>
      </c>
      <c r="M3" s="197" t="n"/>
      <c r="N3" s="190" t="inlineStr">
        <is>
          <t>勘察测量</t>
        </is>
      </c>
      <c r="O3" s="190" t="inlineStr">
        <is>
          <t>航测</t>
        </is>
      </c>
    </row>
    <row r="4" s="186">
      <c r="A4" s="166" t="inlineStr">
        <is>
          <t>一</t>
        </is>
      </c>
      <c r="B4" s="167" t="inlineStr">
        <is>
          <t>勘察测量费</t>
        </is>
      </c>
      <c r="C4" s="168" t="n"/>
      <c r="D4" s="168" t="n"/>
      <c r="E4" s="169" t="n"/>
      <c r="F4" s="170" t="n"/>
      <c r="G4" s="170" t="n"/>
      <c r="H4" s="170" t="n"/>
      <c r="I4" s="170" t="n"/>
      <c r="J4" s="170" t="n"/>
      <c r="K4" s="170" t="n"/>
      <c r="M4" s="190" t="n">
        <v>0.95</v>
      </c>
      <c r="N4" s="191" t="n">
        <v>0.05</v>
      </c>
      <c r="O4" s="191" t="n">
        <v>0.06</v>
      </c>
    </row>
    <row r="5">
      <c r="A5" s="171" t="n">
        <v>1</v>
      </c>
      <c r="B5" s="172" t="inlineStr">
        <is>
          <t>测量费用</t>
        </is>
      </c>
      <c r="C5" s="198">
        <f>SUM('表1 测量费，注所有单体都放一张表中'!M5:M80)/10000</f>
        <v/>
      </c>
      <c r="D5" s="198" t="n"/>
      <c r="E5" s="198" t="n"/>
      <c r="F5" s="199" t="n"/>
      <c r="G5" s="199" t="n"/>
      <c r="H5" s="199">
        <f>C5+D5-F5-G5</f>
        <v/>
      </c>
      <c r="I5" s="199" t="n"/>
      <c r="J5" s="199" t="n"/>
      <c r="K5" s="199">
        <f>C5+D5-I5-J5</f>
        <v/>
      </c>
    </row>
    <row r="6">
      <c r="A6" s="171" t="n">
        <v>2</v>
      </c>
      <c r="B6" s="172" t="inlineStr">
        <is>
          <t>线路工程</t>
        </is>
      </c>
      <c r="C6" s="198" t="n"/>
      <c r="D6" s="198">
        <f>SUM('表2-1 XX勘察费，注每个单体一张表'!O5:O210)/10000</f>
        <v/>
      </c>
      <c r="E6" s="198" t="n"/>
      <c r="F6" s="199" t="n"/>
      <c r="G6" s="199" t="n"/>
      <c r="H6" s="199">
        <f>C6+D6-F6-G6</f>
        <v/>
      </c>
      <c r="I6" s="199" t="n"/>
      <c r="J6" s="199" t="n"/>
      <c r="K6" s="199">
        <f>C6+D6-I6-J6</f>
        <v/>
      </c>
    </row>
    <row r="7">
      <c r="A7" s="171" t="n">
        <v>3</v>
      </c>
      <c r="B7" s="172" t="inlineStr">
        <is>
          <t>XX大中型穿越</t>
        </is>
      </c>
      <c r="C7" s="198" t="n"/>
      <c r="D7" s="198" t="n"/>
      <c r="E7" s="198" t="n"/>
      <c r="F7" s="199" t="n"/>
      <c r="G7" s="199" t="n"/>
      <c r="H7" s="199">
        <f>C7+D7-F7-G7</f>
        <v/>
      </c>
      <c r="I7" s="199" t="n"/>
      <c r="J7" s="199" t="n"/>
      <c r="K7" s="199">
        <f>C7+D7-I7-J7</f>
        <v/>
      </c>
    </row>
    <row r="8">
      <c r="A8" s="171" t="n">
        <v>4</v>
      </c>
      <c r="B8" s="172" t="inlineStr">
        <is>
          <t>XX大中型穿越</t>
        </is>
      </c>
      <c r="C8" s="198" t="n"/>
      <c r="D8" s="198" t="n"/>
      <c r="E8" s="198" t="n"/>
      <c r="F8" s="199" t="n"/>
      <c r="G8" s="199" t="n"/>
      <c r="H8" s="199">
        <f>C8+D8-F8-G8</f>
        <v/>
      </c>
      <c r="I8" s="199" t="n"/>
      <c r="J8" s="199" t="n"/>
      <c r="K8" s="199">
        <f>C8+D8-I8-J8</f>
        <v/>
      </c>
    </row>
    <row r="9">
      <c r="A9" s="171" t="n">
        <v>5</v>
      </c>
      <c r="B9" s="172" t="inlineStr">
        <is>
          <t>XX大中型穿越</t>
        </is>
      </c>
      <c r="C9" s="198" t="n"/>
      <c r="D9" s="198" t="n"/>
      <c r="E9" s="198" t="n"/>
      <c r="F9" s="199" t="n"/>
      <c r="G9" s="199" t="n"/>
      <c r="H9" s="199">
        <f>C9+D9-F9-G9</f>
        <v/>
      </c>
      <c r="I9" s="199" t="n"/>
      <c r="J9" s="199" t="n"/>
      <c r="K9" s="199">
        <f>C9+D9-I9-J9</f>
        <v/>
      </c>
    </row>
    <row r="10">
      <c r="A10" s="171" t="n">
        <v>6</v>
      </c>
      <c r="B10" s="172" t="inlineStr">
        <is>
          <t>XX大中型穿越</t>
        </is>
      </c>
      <c r="C10" s="198" t="n"/>
      <c r="D10" s="198" t="n"/>
      <c r="E10" s="198" t="n"/>
      <c r="F10" s="199" t="n"/>
      <c r="G10" s="199" t="n"/>
      <c r="H10" s="199">
        <f>C10+D10-F10-G10</f>
        <v/>
      </c>
      <c r="I10" s="199" t="n"/>
      <c r="J10" s="199" t="n"/>
      <c r="K10" s="199">
        <f>C10+D10-I10-J10</f>
        <v/>
      </c>
    </row>
    <row r="11">
      <c r="A11" s="171" t="n"/>
      <c r="B11" s="174" t="inlineStr">
        <is>
          <t>小计</t>
        </is>
      </c>
      <c r="C11" s="200">
        <f>SUM(C5:C10)</f>
        <v/>
      </c>
      <c r="D11" s="200">
        <f>SUM(D5:D10)</f>
        <v/>
      </c>
      <c r="E11" s="200" t="n"/>
      <c r="F11" s="201">
        <f>SUM(F5:F10)</f>
        <v/>
      </c>
      <c r="G11" s="201">
        <f>SUM(G5:G10)</f>
        <v/>
      </c>
      <c r="H11" s="201">
        <f>C11+D11-F11-G11</f>
        <v/>
      </c>
      <c r="I11" s="201">
        <f>SUM(I5:I10)</f>
        <v/>
      </c>
      <c r="J11" s="201">
        <f>SUM(J5:J10)</f>
        <v/>
      </c>
      <c r="K11" s="201">
        <f>C11+D11-I11-J11</f>
        <v/>
      </c>
    </row>
    <row r="12" s="186">
      <c r="A12" s="166" t="inlineStr">
        <is>
          <t>二</t>
        </is>
      </c>
      <c r="B12" s="167" t="inlineStr">
        <is>
          <t>航测费用</t>
        </is>
      </c>
      <c r="C12" s="168" t="n"/>
      <c r="D12" s="168" t="n"/>
      <c r="E12" s="169" t="n"/>
      <c r="F12" s="170" t="n"/>
      <c r="G12" s="170" t="n"/>
      <c r="H12" s="170" t="n"/>
      <c r="I12" s="170" t="n"/>
      <c r="J12" s="170" t="n"/>
      <c r="K12" s="170" t="n"/>
    </row>
    <row r="13">
      <c r="A13" s="171" t="n">
        <v>1</v>
      </c>
      <c r="B13" s="172" t="inlineStr">
        <is>
          <t>航测费用</t>
        </is>
      </c>
      <c r="C13" s="198" t="n"/>
      <c r="D13" s="198" t="n"/>
      <c r="E13" s="198" t="n"/>
      <c r="F13" s="199" t="n"/>
      <c r="G13" s="199" t="n"/>
      <c r="H13" s="199">
        <f>C13+D13-F13-G13</f>
        <v/>
      </c>
      <c r="I13" s="199" t="n"/>
      <c r="J13" s="199" t="n"/>
      <c r="K13" s="199">
        <f>C13+D13-I13-J13</f>
        <v/>
      </c>
    </row>
    <row r="14">
      <c r="A14" s="171" t="n"/>
      <c r="B14" s="174" t="inlineStr">
        <is>
          <t>小计</t>
        </is>
      </c>
      <c r="C14" s="200">
        <f>C13</f>
        <v/>
      </c>
      <c r="D14" s="200" t="n"/>
      <c r="E14" s="200" t="n"/>
      <c r="F14" s="200">
        <f>F13</f>
        <v/>
      </c>
      <c r="G14" s="200" t="n"/>
      <c r="H14" s="201">
        <f>C14+D14-F14-G14</f>
        <v/>
      </c>
      <c r="I14" s="200">
        <f>I13</f>
        <v/>
      </c>
      <c r="J14" s="200" t="n"/>
      <c r="K14" s="201">
        <f>C14+D14-I14-J14</f>
        <v/>
      </c>
      <c r="M14" t="inlineStr">
        <is>
          <t xml:space="preserve"> 勘察合同价格相关内容截图</t>
        </is>
      </c>
    </row>
    <row r="15">
      <c r="A15" s="171" t="n"/>
      <c r="B15" s="174" t="inlineStr">
        <is>
          <t>以上合计</t>
        </is>
      </c>
      <c r="C15" s="200">
        <f>+C14+C11</f>
        <v/>
      </c>
      <c r="D15" s="200">
        <f>+D14+D11</f>
        <v/>
      </c>
      <c r="E15" s="200" t="n"/>
      <c r="F15" s="200">
        <f>+F14+F11</f>
        <v/>
      </c>
      <c r="G15" s="200">
        <f>+G14+G11</f>
        <v/>
      </c>
      <c r="H15" s="200">
        <f>+H14+H11</f>
        <v/>
      </c>
      <c r="I15" s="200">
        <f>+I14+I11</f>
        <v/>
      </c>
      <c r="J15" s="200">
        <f>+J14+J11</f>
        <v/>
      </c>
      <c r="K15" s="200">
        <f>+K14+K11</f>
        <v/>
      </c>
    </row>
    <row r="16" s="186">
      <c r="A16" s="166" t="inlineStr">
        <is>
          <t>三</t>
        </is>
      </c>
      <c r="B16" s="167" t="inlineStr">
        <is>
          <t>系数调整</t>
        </is>
      </c>
      <c r="C16" s="168" t="n"/>
      <c r="D16" s="168" t="n"/>
      <c r="E16" s="169" t="n"/>
      <c r="F16" s="170" t="n"/>
      <c r="G16" s="170" t="n"/>
      <c r="H16" s="170" t="n"/>
      <c r="I16" s="170" t="n"/>
      <c r="J16" s="170" t="n"/>
      <c r="K16" s="170" t="n"/>
      <c r="L16" s="192" t="n"/>
    </row>
    <row r="17" ht="26" customHeight="1" s="186">
      <c r="A17" s="53" t="n">
        <v>1</v>
      </c>
      <c r="B17" s="177">
        <f>"勘察测量 框架下浮"&amp;N4*100&amp;"%"&amp;"、"&amp;M2&amp;M4</f>
        <v/>
      </c>
      <c r="C17" s="199">
        <f>C11*(1-$N$4)*$M$4</f>
        <v/>
      </c>
      <c r="D17" s="199">
        <f>D11*(1-$N$4)*$M$4</f>
        <v/>
      </c>
      <c r="E17" s="199" t="n"/>
      <c r="F17" s="199">
        <f>F11*(1-$N$4)*$M$4</f>
        <v/>
      </c>
      <c r="G17" s="199">
        <f>G11*(1-$N$4)*$M$4</f>
        <v/>
      </c>
      <c r="H17" s="199">
        <f>C17+D17-F17-G17</f>
        <v/>
      </c>
      <c r="I17" s="199">
        <f>I11*(1-$N$4)*$M$4</f>
        <v/>
      </c>
      <c r="J17" s="199">
        <f>J11*(1-$N$4)*$M$4</f>
        <v/>
      </c>
      <c r="K17" s="199">
        <f>C17+D17-I17-J17</f>
        <v/>
      </c>
      <c r="L17" s="192" t="n"/>
    </row>
    <row r="18">
      <c r="A18" s="171" t="n">
        <v>2</v>
      </c>
      <c r="B18" s="172">
        <f>"航测费用 框架下浮"&amp;O4*100&amp;"%"</f>
        <v/>
      </c>
      <c r="C18" s="198">
        <f>C14*(1-$O$4)</f>
        <v/>
      </c>
      <c r="D18" s="198" t="n"/>
      <c r="E18" s="198" t="n"/>
      <c r="F18" s="198">
        <f>F14*(1-$O$4)</f>
        <v/>
      </c>
      <c r="G18" s="198" t="n"/>
      <c r="H18" s="199">
        <f>C18+D18-F18-G18</f>
        <v/>
      </c>
      <c r="I18" s="198">
        <f>I14*(1-$O$4)</f>
        <v/>
      </c>
      <c r="J18" s="199" t="n"/>
      <c r="K18" s="199">
        <f>C18+D18-I18-J18</f>
        <v/>
      </c>
      <c r="L18" s="192" t="n"/>
    </row>
    <row r="19">
      <c r="A19" s="171" t="n"/>
      <c r="B19" s="174" t="inlineStr">
        <is>
          <t>小计</t>
        </is>
      </c>
      <c r="C19" s="200">
        <f>+C17+C18</f>
        <v/>
      </c>
      <c r="D19" s="200">
        <f>+D17+D18</f>
        <v/>
      </c>
      <c r="E19" s="200" t="n"/>
      <c r="F19" s="200">
        <f>+F17+F18</f>
        <v/>
      </c>
      <c r="G19" s="200">
        <f>+G17+G18</f>
        <v/>
      </c>
      <c r="H19" s="201">
        <f>C19+D19-F19-G19</f>
        <v/>
      </c>
      <c r="I19" s="200">
        <f>+I17+I18</f>
        <v/>
      </c>
      <c r="J19" s="200">
        <f>+J17+J18</f>
        <v/>
      </c>
      <c r="K19" s="201">
        <f>C19+D19-I19-J19</f>
        <v/>
      </c>
      <c r="L19" s="192" t="n"/>
    </row>
    <row r="20" s="186">
      <c r="A20" s="166" t="inlineStr">
        <is>
          <t>四</t>
        </is>
      </c>
      <c r="B20" s="167" t="inlineStr">
        <is>
          <t>其他费用</t>
        </is>
      </c>
      <c r="C20" s="168" t="n"/>
      <c r="D20" s="168" t="n"/>
      <c r="E20" s="169" t="n"/>
      <c r="F20" s="170" t="n"/>
      <c r="G20" s="170" t="n"/>
      <c r="H20" s="170" t="n"/>
      <c r="I20" s="170" t="n"/>
      <c r="J20" s="170" t="n"/>
      <c r="K20" s="170" t="n"/>
    </row>
    <row r="21">
      <c r="A21" s="171" t="n">
        <v>1</v>
      </c>
      <c r="B21" s="178" t="inlineStr">
        <is>
          <t>一次报送</t>
        </is>
      </c>
      <c r="C21" s="198">
        <f>SUM('表3 其他费用(一次报送)'!L4:L10)/10000</f>
        <v/>
      </c>
      <c r="D21" s="196" t="n"/>
      <c r="E21" s="202" t="n"/>
      <c r="F21" s="199" t="n"/>
      <c r="G21" s="196" t="n"/>
      <c r="H21" s="199">
        <f>C21-F21</f>
        <v/>
      </c>
      <c r="I21" s="199" t="n"/>
      <c r="J21" s="196" t="n"/>
      <c r="K21" s="199">
        <f>C21-I21</f>
        <v/>
      </c>
      <c r="L21" s="193" t="n"/>
    </row>
    <row r="22">
      <c r="A22" s="171" t="n">
        <v>2</v>
      </c>
      <c r="B22" s="178" t="inlineStr">
        <is>
          <t>二次补充</t>
        </is>
      </c>
      <c r="C22" s="198" t="n"/>
      <c r="D22" s="196" t="n"/>
      <c r="E22" s="202" t="n"/>
      <c r="F22" s="199" t="n"/>
      <c r="G22" s="196" t="n"/>
      <c r="H22" s="199">
        <f>C22-F22</f>
        <v/>
      </c>
      <c r="I22" s="199" t="n"/>
      <c r="J22" s="196" t="n"/>
      <c r="K22" s="199">
        <f>C22-I22</f>
        <v/>
      </c>
      <c r="L22" s="193" t="n"/>
    </row>
    <row r="23">
      <c r="A23" s="171" t="n"/>
      <c r="B23" s="174" t="inlineStr">
        <is>
          <t>小计</t>
        </is>
      </c>
      <c r="C23" s="200">
        <f>+C21+C22</f>
        <v/>
      </c>
      <c r="D23" s="196" t="n"/>
      <c r="E23" s="203" t="n"/>
      <c r="F23" s="200">
        <f>+F21+F22</f>
        <v/>
      </c>
      <c r="G23" s="196" t="n"/>
      <c r="H23" s="201">
        <f>+H22+H21</f>
        <v/>
      </c>
      <c r="I23" s="200">
        <f>+I21+I22</f>
        <v/>
      </c>
      <c r="J23" s="196" t="n"/>
      <c r="K23" s="201">
        <f>+K22+K21</f>
        <v/>
      </c>
      <c r="L23" s="193" t="n"/>
    </row>
    <row r="24" s="186">
      <c r="A24" s="161" t="inlineStr">
        <is>
          <t>五</t>
        </is>
      </c>
      <c r="B24" s="161" t="inlineStr">
        <is>
          <t>结算金额</t>
        </is>
      </c>
      <c r="C24" s="200">
        <f>+C19+D19+C23</f>
        <v/>
      </c>
      <c r="D24" s="196" t="n"/>
      <c r="E24" s="202" t="inlineStr">
        <is>
          <t>含税</t>
        </is>
      </c>
      <c r="F24" s="200">
        <f>+F19+G19+F23</f>
        <v/>
      </c>
      <c r="G24" s="196" t="n"/>
      <c r="H24" s="201">
        <f>+C24-F24</f>
        <v/>
      </c>
      <c r="I24" s="200">
        <f>+I19+J19+I23</f>
        <v/>
      </c>
      <c r="J24" s="196" t="n"/>
      <c r="K24" s="201">
        <f>C24-I24</f>
        <v/>
      </c>
    </row>
    <row r="25" s="186">
      <c r="A25" s="204" t="n"/>
      <c r="B25" s="204" t="n"/>
      <c r="C25" s="200">
        <f>C24/1.06</f>
        <v/>
      </c>
      <c r="D25" s="196" t="n"/>
      <c r="E25" s="205" t="inlineStr">
        <is>
          <t>不含税</t>
        </is>
      </c>
      <c r="F25" s="200">
        <f>F24/1.06</f>
        <v/>
      </c>
      <c r="G25" s="196" t="n"/>
      <c r="H25" s="201">
        <f>+C25-F25</f>
        <v/>
      </c>
      <c r="I25" s="200">
        <f>I24/1.06</f>
        <v/>
      </c>
      <c r="J25" s="196" t="n"/>
      <c r="K25" s="201">
        <f>C25-I25</f>
        <v/>
      </c>
    </row>
    <row r="26" s="186">
      <c r="A26" s="197" t="n"/>
      <c r="B26" s="197" t="n"/>
      <c r="C26" s="200">
        <f>C24-C25</f>
        <v/>
      </c>
      <c r="D26" s="196" t="n"/>
      <c r="E26" s="202" t="inlineStr">
        <is>
          <t>增值税（6%）</t>
        </is>
      </c>
      <c r="F26" s="200">
        <f>F24-F25</f>
        <v/>
      </c>
      <c r="G26" s="196" t="n"/>
      <c r="H26" s="201">
        <f>+C26-F26</f>
        <v/>
      </c>
      <c r="I26" s="200">
        <f>I24-I25</f>
        <v/>
      </c>
      <c r="J26" s="196" t="n"/>
      <c r="K26" s="201">
        <f>C26-I26</f>
        <v/>
      </c>
    </row>
    <row r="27"/>
  </sheetData>
  <mergeCells count="28">
    <mergeCell ref="C24:D24"/>
    <mergeCell ref="F25:G25"/>
    <mergeCell ref="F2:H2"/>
    <mergeCell ref="B2:B3"/>
    <mergeCell ref="B24:B26"/>
    <mergeCell ref="M2:M3"/>
    <mergeCell ref="C26:D26"/>
    <mergeCell ref="I26:J26"/>
    <mergeCell ref="A1:K1"/>
    <mergeCell ref="C2:E2"/>
    <mergeCell ref="F21:G21"/>
    <mergeCell ref="F24:G24"/>
    <mergeCell ref="C25:D25"/>
    <mergeCell ref="I25:J25"/>
    <mergeCell ref="N2:O2"/>
    <mergeCell ref="C22:D22"/>
    <mergeCell ref="I22:J22"/>
    <mergeCell ref="A2:A3"/>
    <mergeCell ref="A24:A26"/>
    <mergeCell ref="F26:G26"/>
    <mergeCell ref="I21:J21"/>
    <mergeCell ref="C21:D21"/>
    <mergeCell ref="I24:J24"/>
    <mergeCell ref="F23:G23"/>
    <mergeCell ref="F22:G22"/>
    <mergeCell ref="I23:J23"/>
    <mergeCell ref="C23:D23"/>
    <mergeCell ref="I2:K2"/>
  </mergeCells>
  <pageMargins left="0.7" right="0.7" top="0.75" bottom="0.75" header="0.3" footer="0.3"/>
  <pageSetup orientation="landscape" paperSize="9" scale="9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C80"/>
  <sheetViews>
    <sheetView showGridLines="0" showZeros="0" view="pageBreakPreview" zoomScale="85" zoomScaleNormal="85" workbookViewId="0">
      <pane ySplit="4" topLeftCell="A5" activePane="bottomLeft" state="frozen"/>
      <selection activeCell="A1" sqref="A1"/>
      <selection pane="bottomLeft" activeCell="L23" sqref="L23"/>
    </sheetView>
  </sheetViews>
  <sheetFormatPr baseColWidth="8" defaultColWidth="9" defaultRowHeight="22.5" customHeight="1"/>
  <cols>
    <col width="5.63636363636364" customWidth="1" style="34" min="1" max="1"/>
    <col width="5.44545454545455" customWidth="1" style="34" min="2" max="2"/>
    <col width="23.9545454545455" customWidth="1" style="34" min="3" max="3"/>
    <col width="6" customWidth="1" style="34" min="4" max="4"/>
    <col width="10.9090909090909" customWidth="1" style="108" min="5" max="5"/>
    <col width="4.36363636363636" customWidth="1" style="34" min="6" max="6"/>
    <col width="7" customWidth="1" style="34" min="7" max="8"/>
    <col width="5.81818181818182" customWidth="1" style="34" min="9" max="9"/>
    <col width="8.36363636363636" customWidth="1" style="206" min="10" max="10"/>
    <col width="5.63636363636364" customWidth="1" style="206" min="11" max="11"/>
    <col width="8.90909090909091" customWidth="1" style="206" min="12" max="12"/>
    <col width="11.8181818181818" customWidth="1" style="206" min="13" max="13"/>
    <col width="7.36363636363636" customWidth="1" style="34" min="14" max="14"/>
    <col width="37.0090909090909" customWidth="1" style="31" min="15" max="15"/>
    <col outlineLevel="1" width="9.609090909090909" customWidth="1" style="32" min="16" max="20"/>
    <col width="9.609090909090909" customWidth="1" style="207" min="21" max="21"/>
    <col width="9.609090909090909" customWidth="1" style="32" min="22" max="22"/>
    <col outlineLevel="1" width="9.609090909090909" customWidth="1" style="34" min="23" max="27"/>
    <col width="9.609090909090909" customWidth="1" style="208" min="28" max="28"/>
    <col width="9.609090909090909" customWidth="1" style="34" min="29" max="29"/>
    <col width="9" customWidth="1" style="34" min="30" max="16384"/>
  </cols>
  <sheetData>
    <row r="1" ht="36" customHeight="1" s="186">
      <c r="A1" s="110" t="inlineStr">
        <is>
          <t>附表1 测量费用测算表</t>
        </is>
      </c>
      <c r="B1" s="209" t="n"/>
      <c r="C1" s="209" t="n"/>
      <c r="D1" s="209" t="n"/>
      <c r="E1" s="209" t="n"/>
      <c r="F1" s="209" t="n"/>
      <c r="G1" s="209" t="n"/>
      <c r="H1" s="209" t="n"/>
      <c r="I1" s="209" t="n"/>
      <c r="J1" s="209" t="n"/>
      <c r="K1" s="209" t="n"/>
      <c r="L1" s="209" t="n"/>
      <c r="M1" s="209" t="n"/>
      <c r="N1" s="209" t="n"/>
      <c r="O1" s="209" t="n"/>
    </row>
    <row r="2" s="186">
      <c r="A2" s="111" t="inlineStr">
        <is>
          <t>1、XX隧道</t>
        </is>
      </c>
      <c r="B2" s="195" t="n"/>
      <c r="C2" s="195" t="n"/>
      <c r="D2" s="195" t="n"/>
      <c r="E2" s="195" t="n"/>
      <c r="F2" s="196" t="n"/>
      <c r="G2" s="100" t="inlineStr">
        <is>
          <t>承包商上报</t>
        </is>
      </c>
      <c r="H2" s="195" t="n"/>
      <c r="I2" s="195" t="n"/>
      <c r="J2" s="195" t="n"/>
      <c r="K2" s="195" t="n"/>
      <c r="L2" s="195" t="n"/>
      <c r="M2" s="195" t="n"/>
      <c r="N2" s="195" t="n"/>
      <c r="O2" s="195" t="n"/>
      <c r="P2" s="72" t="inlineStr">
        <is>
          <t>专业审核</t>
        </is>
      </c>
      <c r="Q2" s="195" t="n"/>
      <c r="R2" s="195" t="n"/>
      <c r="S2" s="195" t="n"/>
      <c r="T2" s="195" t="n"/>
      <c r="U2" s="195" t="n"/>
      <c r="V2" s="196" t="n"/>
      <c r="W2" s="190" t="inlineStr">
        <is>
          <t>造价审核</t>
        </is>
      </c>
      <c r="X2" s="195" t="n"/>
      <c r="Y2" s="195" t="n"/>
      <c r="Z2" s="195" t="n"/>
      <c r="AA2" s="195" t="n"/>
      <c r="AB2" s="195" t="n"/>
      <c r="AC2" s="196" t="n"/>
    </row>
    <row r="3" outlineLevel="1" ht="52" customHeight="1" s="186">
      <c r="A3" s="40" t="inlineStr">
        <is>
          <t>序号</t>
        </is>
      </c>
      <c r="B3" s="40" t="inlineStr">
        <is>
          <t>工作任务</t>
        </is>
      </c>
      <c r="C3" s="195" t="n"/>
      <c r="D3" s="195" t="n"/>
      <c r="E3" s="195" t="n"/>
      <c r="F3" s="196" t="n"/>
      <c r="G3" s="40" t="inlineStr">
        <is>
          <t>实物工作费（元）</t>
        </is>
      </c>
      <c r="H3" s="195" t="n"/>
      <c r="I3" s="195" t="n"/>
      <c r="J3" s="196" t="n"/>
      <c r="K3" s="210" t="inlineStr">
        <is>
          <t>技术工作费（元）</t>
        </is>
      </c>
      <c r="L3" s="196" t="n"/>
      <c r="M3" s="210" t="inlineStr">
        <is>
          <t>金额合计（元）</t>
        </is>
      </c>
      <c r="N3" s="71" t="inlineStr">
        <is>
          <t>收费标准里对应条款</t>
        </is>
      </c>
      <c r="O3" s="71" t="inlineStr">
        <is>
          <t>系数及费用来源
说明</t>
        </is>
      </c>
      <c r="P3" s="74" t="inlineStr">
        <is>
          <t>工程量
增减</t>
        </is>
      </c>
      <c r="Q3" s="74" t="inlineStr">
        <is>
          <t>审核认定数量</t>
        </is>
      </c>
      <c r="R3" s="74" t="inlineStr">
        <is>
          <t>实物工作系数</t>
        </is>
      </c>
      <c r="S3" s="74" t="inlineStr">
        <is>
          <t>审核单价</t>
        </is>
      </c>
      <c r="T3" s="74" t="inlineStr">
        <is>
          <t>技术工作系数</t>
        </is>
      </c>
      <c r="U3" s="74" t="inlineStr">
        <is>
          <t>审核总价（元）</t>
        </is>
      </c>
      <c r="V3" s="74" t="inlineStr">
        <is>
          <t>审减说明</t>
        </is>
      </c>
      <c r="W3" s="84" t="inlineStr">
        <is>
          <t>工程量
增减</t>
        </is>
      </c>
      <c r="X3" s="84" t="inlineStr">
        <is>
          <t>审核认定数量</t>
        </is>
      </c>
      <c r="Y3" s="84" t="inlineStr">
        <is>
          <t>实物工作系数</t>
        </is>
      </c>
      <c r="Z3" s="84" t="inlineStr">
        <is>
          <t>审核单价</t>
        </is>
      </c>
      <c r="AA3" s="84" t="inlineStr">
        <is>
          <t>技术工作系数</t>
        </is>
      </c>
      <c r="AB3" s="84" t="inlineStr">
        <is>
          <t>审核总价（元）</t>
        </is>
      </c>
      <c r="AC3" s="84" t="inlineStr">
        <is>
          <t>审减说明</t>
        </is>
      </c>
    </row>
    <row r="4" outlineLevel="1" ht="38" customHeight="1" s="186">
      <c r="A4" s="197" t="n"/>
      <c r="B4" s="40" t="inlineStr">
        <is>
          <t>项目</t>
        </is>
      </c>
      <c r="C4" s="40" t="inlineStr">
        <is>
          <t>内容</t>
        </is>
      </c>
      <c r="D4" s="40" t="inlineStr">
        <is>
          <t>类别</t>
        </is>
      </c>
      <c r="E4" s="42" t="inlineStr">
        <is>
          <t>比例尺</t>
        </is>
      </c>
      <c r="F4" s="40" t="inlineStr">
        <is>
          <t>单位</t>
        </is>
      </c>
      <c r="G4" s="40" t="inlineStr">
        <is>
          <t>工程量</t>
        </is>
      </c>
      <c r="H4" s="211" t="inlineStr">
        <is>
          <t>基价（元）</t>
        </is>
      </c>
      <c r="I4" s="40" t="inlineStr">
        <is>
          <t>调整系数</t>
        </is>
      </c>
      <c r="J4" s="210" t="inlineStr">
        <is>
          <t>小计</t>
        </is>
      </c>
      <c r="K4" s="40" t="inlineStr">
        <is>
          <t>调整系数</t>
        </is>
      </c>
      <c r="L4" s="40" t="inlineStr">
        <is>
          <t>小计</t>
        </is>
      </c>
      <c r="M4" s="197" t="n"/>
      <c r="N4" s="197" t="n"/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7" t="n"/>
      <c r="Y4" s="197" t="n"/>
      <c r="Z4" s="197" t="n"/>
      <c r="AA4" s="197" t="n"/>
      <c r="AB4" s="197" t="n"/>
      <c r="AC4" s="197" t="n"/>
    </row>
    <row r="5" outlineLevel="1" s="186">
      <c r="A5" s="43" t="n">
        <v>1</v>
      </c>
      <c r="B5" s="43" t="inlineStr">
        <is>
          <t>控制测量</t>
        </is>
      </c>
      <c r="C5" s="43" t="inlineStr">
        <is>
          <t>首级控制测量</t>
        </is>
      </c>
      <c r="D5" s="43" t="inlineStr">
        <is>
          <t>GPS测量D级</t>
        </is>
      </c>
      <c r="E5" s="43" t="inlineStr">
        <is>
          <t>复杂</t>
        </is>
      </c>
      <c r="F5" s="212" t="inlineStr">
        <is>
          <t>个</t>
        </is>
      </c>
      <c r="G5" s="43" t="n"/>
      <c r="H5" s="43">
        <f>IF(D5="GPS测量E级",VLOOKUP(E5,{"简单","2821";"中等","3203";"复杂","4123"},2,0))+IF(D5="GPS测量D级",VLOOKUP(E5,{"简单","3198";"中等","3632";"复杂","4671"},2,0))+IF(D5="GPS测量C级",VLOOKUP(E5,{"简单","3727";"中等","4274";"复杂","5500"},2,0))</f>
        <v/>
      </c>
      <c r="I5" s="43" t="n">
        <v>0.6</v>
      </c>
      <c r="J5" s="213">
        <f>G5*I5*H5</f>
        <v/>
      </c>
      <c r="K5" s="212" t="n">
        <v>0.22</v>
      </c>
      <c r="L5" s="213">
        <f>J5*K5</f>
        <v/>
      </c>
      <c r="M5" s="199">
        <f>J5+L5</f>
        <v/>
      </c>
      <c r="N5" s="87" t="inlineStr">
        <is>
          <t xml:space="preserve">
表2.2-2</t>
        </is>
      </c>
      <c r="O5" s="126" t="inlineStr">
        <is>
          <t>不造标0.6</t>
        </is>
      </c>
      <c r="P5" s="127" t="n"/>
      <c r="Q5" s="128" t="n"/>
      <c r="R5" s="128" t="n"/>
      <c r="S5" s="128" t="n"/>
      <c r="T5" s="128" t="n"/>
      <c r="U5" s="214" t="n"/>
      <c r="V5" s="128" t="n"/>
      <c r="W5" s="53" t="n"/>
      <c r="X5" s="53" t="n"/>
      <c r="Y5" s="53" t="n"/>
      <c r="Z5" s="53" t="n"/>
      <c r="AA5" s="53" t="n"/>
      <c r="AB5" s="215" t="n"/>
      <c r="AC5" s="53" t="n"/>
    </row>
    <row r="6" outlineLevel="1" s="186">
      <c r="A6" s="43" t="n">
        <v>2</v>
      </c>
      <c r="B6" s="204" t="n"/>
      <c r="C6" s="43" t="inlineStr">
        <is>
          <t>首级控制测量</t>
        </is>
      </c>
      <c r="D6" s="43" t="inlineStr">
        <is>
          <t>GPS测量D级</t>
        </is>
      </c>
      <c r="E6" s="43" t="inlineStr">
        <is>
          <t>中等</t>
        </is>
      </c>
      <c r="F6" s="212" t="inlineStr">
        <is>
          <t>个</t>
        </is>
      </c>
      <c r="G6" s="43" t="n"/>
      <c r="H6" s="43">
        <f>IF(D6="GPS测量E级",VLOOKUP(E6,{"简单","2821";"中等","3203";"复杂","4123"},2,0))+IF(D6="GPS测量D级",VLOOKUP(E6,{"简单","3198";"中等","3632";"复杂","4671"},2,0))+IF(D6="GPS测量C级",VLOOKUP(E6,{"简单","3727";"中等","4274";"复杂","5500"},2,0))</f>
        <v/>
      </c>
      <c r="I6" s="43" t="n">
        <v>0.6</v>
      </c>
      <c r="J6" s="213">
        <f>G6*I6*H6</f>
        <v/>
      </c>
      <c r="K6" s="212" t="n">
        <v>0.22</v>
      </c>
      <c r="L6" s="213">
        <f>J6*K6</f>
        <v/>
      </c>
      <c r="M6" s="199">
        <f>J6+L6</f>
        <v/>
      </c>
      <c r="N6" s="204" t="n"/>
      <c r="O6" s="126" t="inlineStr">
        <is>
          <t>不造标0.6</t>
        </is>
      </c>
      <c r="P6" s="127" t="n"/>
      <c r="Q6" s="128" t="n"/>
      <c r="R6" s="128" t="n"/>
      <c r="S6" s="128" t="n"/>
      <c r="T6" s="128" t="n"/>
      <c r="U6" s="214" t="n"/>
      <c r="V6" s="128" t="n"/>
      <c r="W6" s="53" t="n"/>
      <c r="X6" s="53" t="n"/>
      <c r="Y6" s="53" t="n"/>
      <c r="Z6" s="53" t="n"/>
      <c r="AA6" s="53" t="n"/>
      <c r="AB6" s="215" t="n"/>
      <c r="AC6" s="53" t="n"/>
    </row>
    <row r="7" outlineLevel="1" s="186">
      <c r="A7" s="43" t="n">
        <v>3</v>
      </c>
      <c r="B7" s="204" t="n"/>
      <c r="C7" s="53" t="inlineStr">
        <is>
          <t>河流静态</t>
        </is>
      </c>
      <c r="D7" s="43" t="inlineStr">
        <is>
          <t>GPS测量E级</t>
        </is>
      </c>
      <c r="E7" s="43" t="inlineStr">
        <is>
          <t>中等</t>
        </is>
      </c>
      <c r="F7" s="212" t="inlineStr">
        <is>
          <t>点</t>
        </is>
      </c>
      <c r="G7" s="43" t="n"/>
      <c r="H7" s="43">
        <f>IF(D7="GPS测量E级",VLOOKUP(E7,{"简单","2821";"中等","3203";"复杂","4123"},2,0))+IF(D7="GPS测量D级",VLOOKUP(E7,{"简单","3198";"中等","3632";"复杂","4671"},2,0))+IF(D7="GPS测量C级",VLOOKUP(E7,{"简单","3727";"中等","4274";"复杂","5500"},2,0))</f>
        <v/>
      </c>
      <c r="I7" s="43" t="n">
        <v>0.6</v>
      </c>
      <c r="J7" s="213">
        <f>G7*I7*H7</f>
        <v/>
      </c>
      <c r="K7" s="212" t="n">
        <v>0.22</v>
      </c>
      <c r="L7" s="213">
        <f>J7*K7</f>
        <v/>
      </c>
      <c r="M7" s="199">
        <f>J7+L7</f>
        <v/>
      </c>
      <c r="N7" s="204" t="n"/>
      <c r="O7" s="126" t="inlineStr">
        <is>
          <t>不造标0.6</t>
        </is>
      </c>
      <c r="P7" s="127" t="n"/>
      <c r="Q7" s="128" t="n"/>
      <c r="R7" s="128" t="n"/>
      <c r="S7" s="128" t="n"/>
      <c r="T7" s="128" t="n"/>
      <c r="U7" s="214" t="n"/>
      <c r="V7" s="128" t="n"/>
      <c r="W7" s="53" t="n"/>
      <c r="X7" s="53" t="n"/>
      <c r="Y7" s="53" t="n"/>
      <c r="Z7" s="53" t="n"/>
      <c r="AA7" s="53" t="n"/>
      <c r="AB7" s="215" t="n"/>
      <c r="AC7" s="53" t="n"/>
    </row>
    <row r="8" outlineLevel="1" s="186">
      <c r="A8" s="43" t="n">
        <v>4</v>
      </c>
      <c r="B8" s="204" t="n"/>
      <c r="C8" s="53" t="inlineStr">
        <is>
          <t>连片鱼塘静态</t>
        </is>
      </c>
      <c r="D8" s="43" t="inlineStr">
        <is>
          <t>GPS测量E级</t>
        </is>
      </c>
      <c r="E8" s="43" t="inlineStr">
        <is>
          <t>复杂</t>
        </is>
      </c>
      <c r="F8" s="212" t="inlineStr">
        <is>
          <t>点</t>
        </is>
      </c>
      <c r="G8" s="43" t="n"/>
      <c r="H8" s="43">
        <f>IF(D8="GPS测量E级",VLOOKUP(E8,{"简单","2821";"中等","3203";"复杂","4123"},2,0))+IF(D8="GPS测量D级",VLOOKUP(E8,{"简单","3198";"中等","3632";"复杂","4671"},2,0))+IF(D8="GPS测量C级",VLOOKUP(E8,{"简单","3727";"中等","4274";"复杂","5500"},2,0))</f>
        <v/>
      </c>
      <c r="I8" s="43" t="n">
        <v>0.6</v>
      </c>
      <c r="J8" s="213">
        <f>G8*I8*H8</f>
        <v/>
      </c>
      <c r="K8" s="212" t="n">
        <v>0.22</v>
      </c>
      <c r="L8" s="213">
        <f>J8*K8</f>
        <v/>
      </c>
      <c r="M8" s="199">
        <f>J8+L8</f>
        <v/>
      </c>
      <c r="N8" s="204" t="n"/>
      <c r="O8" s="126" t="inlineStr">
        <is>
          <t>不造标0.6</t>
        </is>
      </c>
      <c r="P8" s="128" t="n"/>
      <c r="Q8" s="128" t="n"/>
      <c r="R8" s="128" t="n"/>
      <c r="S8" s="128" t="n"/>
      <c r="T8" s="128" t="n"/>
      <c r="U8" s="214" t="n"/>
      <c r="V8" s="128" t="n"/>
      <c r="W8" s="53" t="n"/>
      <c r="X8" s="53" t="n"/>
      <c r="Y8" s="53" t="n"/>
      <c r="Z8" s="53" t="n"/>
      <c r="AA8" s="53" t="n"/>
      <c r="AB8" s="215" t="n"/>
      <c r="AC8" s="53" t="n"/>
    </row>
    <row r="9" outlineLevel="1" s="186">
      <c r="A9" s="43" t="n">
        <v>5</v>
      </c>
      <c r="B9" s="204" t="n"/>
      <c r="C9" s="43" t="inlineStr">
        <is>
          <t>山岭隧道静态</t>
        </is>
      </c>
      <c r="D9" s="43" t="inlineStr">
        <is>
          <t>GPS测量E级</t>
        </is>
      </c>
      <c r="E9" s="43" t="inlineStr">
        <is>
          <t>复杂</t>
        </is>
      </c>
      <c r="F9" s="212" t="inlineStr">
        <is>
          <t>点</t>
        </is>
      </c>
      <c r="G9" s="43" t="n"/>
      <c r="H9" s="43">
        <f>IF(D9="GPS测量E级",VLOOKUP(E9,{"简单","2821";"中等","3203";"复杂","4123"},2,0))+IF(D9="GPS测量D级",VLOOKUP(E9,{"简单","3198";"中等","3632";"复杂","4671"},2,0))+IF(D9="GPS测量C级",VLOOKUP(E9,{"简单","3727";"中等","4274";"复杂","5500"},2,0))</f>
        <v/>
      </c>
      <c r="I9" s="43" t="n">
        <v>0.6</v>
      </c>
      <c r="J9" s="213">
        <f>G9*I9*H9</f>
        <v/>
      </c>
      <c r="K9" s="212" t="n">
        <v>0.22</v>
      </c>
      <c r="L9" s="213">
        <f>J9*K9</f>
        <v/>
      </c>
      <c r="M9" s="199">
        <f>J9+L9</f>
        <v/>
      </c>
      <c r="N9" s="204" t="n"/>
      <c r="O9" s="126" t="inlineStr">
        <is>
          <t>不造标0.6</t>
        </is>
      </c>
      <c r="P9" s="128" t="n"/>
      <c r="Q9" s="128" t="n"/>
      <c r="R9" s="128" t="n"/>
      <c r="S9" s="128" t="n"/>
      <c r="T9" s="128" t="n"/>
      <c r="U9" s="214" t="n"/>
      <c r="V9" s="128" t="n"/>
      <c r="W9" s="53" t="n"/>
      <c r="X9" s="53" t="n"/>
      <c r="Y9" s="53" t="n"/>
      <c r="Z9" s="53" t="n"/>
      <c r="AA9" s="53" t="n"/>
      <c r="AB9" s="215" t="n"/>
      <c r="AC9" s="53" t="n"/>
    </row>
    <row r="10" outlineLevel="1" s="186">
      <c r="A10" s="43" t="n">
        <v>6</v>
      </c>
      <c r="B10" s="204" t="n"/>
      <c r="C10" s="43" t="inlineStr">
        <is>
          <t>山体定向钻静态</t>
        </is>
      </c>
      <c r="D10" s="43" t="inlineStr">
        <is>
          <t>GPS测量E级</t>
        </is>
      </c>
      <c r="E10" s="43" t="inlineStr">
        <is>
          <t>复杂</t>
        </is>
      </c>
      <c r="F10" s="212" t="inlineStr">
        <is>
          <t>点</t>
        </is>
      </c>
      <c r="G10" s="43" t="n"/>
      <c r="H10" s="43">
        <f>IF(D10="GPS测量E级",VLOOKUP(E10,{"简单","2821";"中等","3203";"复杂","4123"},2,0))+IF(D10="GPS测量D级",VLOOKUP(E10,{"简单","3198";"中等","3632";"复杂","4671"},2,0))+IF(D10="GPS测量C级",VLOOKUP(E10,{"简单","3727";"中等","4274";"复杂","5500"},2,0))</f>
        <v/>
      </c>
      <c r="I10" s="43" t="n">
        <v>0.6</v>
      </c>
      <c r="J10" s="213">
        <f>G10*I10*H10</f>
        <v/>
      </c>
      <c r="K10" s="212" t="n">
        <v>0.22</v>
      </c>
      <c r="L10" s="213">
        <f>J10*K10</f>
        <v/>
      </c>
      <c r="M10" s="199">
        <f>J10+L10</f>
        <v/>
      </c>
      <c r="N10" s="204" t="n"/>
      <c r="O10" s="126" t="inlineStr">
        <is>
          <t>不造标0.6</t>
        </is>
      </c>
      <c r="P10" s="128" t="n"/>
      <c r="Q10" s="128" t="n"/>
      <c r="R10" s="128" t="n"/>
      <c r="S10" s="128" t="n"/>
      <c r="T10" s="128" t="n"/>
      <c r="U10" s="214" t="n"/>
      <c r="V10" s="128" t="n"/>
      <c r="W10" s="53" t="n"/>
      <c r="X10" s="53" t="n"/>
      <c r="Y10" s="53" t="n"/>
      <c r="Z10" s="53" t="n"/>
      <c r="AA10" s="53" t="n"/>
      <c r="AB10" s="215" t="n"/>
      <c r="AC10" s="53" t="n"/>
    </row>
    <row r="11" outlineLevel="1" s="186">
      <c r="A11" s="43" t="n">
        <v>7</v>
      </c>
      <c r="B11" s="204" t="n"/>
      <c r="C11" s="43" t="inlineStr">
        <is>
          <t>站场静态</t>
        </is>
      </c>
      <c r="D11" s="43" t="inlineStr">
        <is>
          <t>GPS测量E级</t>
        </is>
      </c>
      <c r="E11" s="43" t="inlineStr">
        <is>
          <t>中等</t>
        </is>
      </c>
      <c r="F11" s="212" t="inlineStr">
        <is>
          <t>点</t>
        </is>
      </c>
      <c r="G11" s="43" t="n">
        <v>6</v>
      </c>
      <c r="H11" s="43" t="n">
        <v>3500</v>
      </c>
      <c r="I11" s="43" t="n">
        <v>0.6</v>
      </c>
      <c r="J11" s="213">
        <f>G11*I11*H11</f>
        <v/>
      </c>
      <c r="K11" s="212" t="n">
        <v>0.22</v>
      </c>
      <c r="L11" s="213">
        <f>J11*K11</f>
        <v/>
      </c>
      <c r="M11" s="199">
        <f>G11*I11*H11*(1+K11)</f>
        <v/>
      </c>
      <c r="N11" s="204" t="n"/>
      <c r="O11" s="126" t="inlineStr">
        <is>
          <t>不造标0.6</t>
        </is>
      </c>
      <c r="P11" s="128" t="n"/>
      <c r="Q11" s="128" t="n"/>
      <c r="R11" s="128" t="n"/>
      <c r="S11" s="128" t="n"/>
      <c r="T11" s="128" t="n"/>
      <c r="U11" s="214" t="n"/>
      <c r="V11" s="128" t="n"/>
      <c r="W11" s="53" t="n"/>
      <c r="X11" s="53" t="n"/>
      <c r="Y11" s="53" t="n"/>
      <c r="Z11" s="53" t="n"/>
      <c r="AA11" s="53" t="n"/>
      <c r="AB11" s="215" t="n"/>
      <c r="AC11" s="53" t="n"/>
    </row>
    <row r="12" outlineLevel="1" s="186">
      <c r="A12" s="43" t="n">
        <v>8</v>
      </c>
      <c r="B12" s="204" t="n"/>
      <c r="C12" s="43" t="inlineStr">
        <is>
          <t>阀室RTK</t>
        </is>
      </c>
      <c r="D12" s="43" t="inlineStr">
        <is>
          <t>GPS测量E级</t>
        </is>
      </c>
      <c r="E12" s="43" t="inlineStr">
        <is>
          <t>简单</t>
        </is>
      </c>
      <c r="F12" s="212" t="inlineStr">
        <is>
          <t>点</t>
        </is>
      </c>
      <c r="G12" s="43" t="n"/>
      <c r="H12" s="43">
        <f>IF(D12="GPS测量E级",VLOOKUP(E12,{"简单","2821";"中等","3203";"复杂","4123"},2,0))+IF(D12="GPS测量D级",VLOOKUP(E12,{"简单","3198";"中等","3632";"复杂","4671"},2,0))+IF(D12="GPS测量C级",VLOOKUP(E12,{"简单","3727";"中等","4274";"复杂","5500"},2,0))+IF(D12="三角（边）一级",VLOOKUP(E12,{"简单","1096";"中等","1244";"复杂","1602"},2,0))</f>
        <v/>
      </c>
      <c r="I12" s="43" t="n">
        <v>0.6</v>
      </c>
      <c r="J12" s="213">
        <f>G12*I12*H12</f>
        <v/>
      </c>
      <c r="K12" s="212" t="n">
        <v>0.22</v>
      </c>
      <c r="L12" s="213">
        <f>J12*K12</f>
        <v/>
      </c>
      <c r="M12" s="199">
        <f>J12+L12</f>
        <v/>
      </c>
      <c r="N12" s="204" t="n"/>
      <c r="O12" s="126" t="inlineStr">
        <is>
          <t>不造标0.6</t>
        </is>
      </c>
      <c r="P12" s="128" t="n"/>
      <c r="Q12" s="128" t="n"/>
      <c r="R12" s="128" t="n"/>
      <c r="S12" s="128" t="n"/>
      <c r="T12" s="128" t="n"/>
      <c r="U12" s="214" t="n"/>
      <c r="V12" s="128" t="n"/>
      <c r="W12" s="53" t="n"/>
      <c r="X12" s="53" t="n"/>
      <c r="Y12" s="53" t="n"/>
      <c r="Z12" s="53" t="n"/>
      <c r="AA12" s="53" t="n"/>
      <c r="AB12" s="215" t="n"/>
      <c r="AC12" s="53" t="n"/>
    </row>
    <row r="13" outlineLevel="1" s="186">
      <c r="A13" s="43" t="n">
        <v>9</v>
      </c>
      <c r="B13" s="204" t="n"/>
      <c r="C13" s="43" t="inlineStr">
        <is>
          <t>渣场RTK</t>
        </is>
      </c>
      <c r="D13" s="43" t="inlineStr">
        <is>
          <t>GPS测量E级</t>
        </is>
      </c>
      <c r="E13" s="43" t="inlineStr">
        <is>
          <t>复杂</t>
        </is>
      </c>
      <c r="F13" s="212" t="inlineStr">
        <is>
          <t>点</t>
        </is>
      </c>
      <c r="G13" s="43" t="n"/>
      <c r="H13" s="43">
        <f>IF(D13="GPS测量E级",VLOOKUP(E13,{"简单","2821";"中等","3203";"复杂","4123"},2,0))+IF(D13="GPS测量D级",VLOOKUP(E13,{"简单","3198";"中等","3632";"复杂","4671"},2,0))+IF(D13="GPS测量C级",VLOOKUP(E13,{"简单","3727";"中等","4274";"复杂","5500"},2,0))</f>
        <v/>
      </c>
      <c r="I13" s="43" t="n">
        <v>0.6</v>
      </c>
      <c r="J13" s="213">
        <f>G13*I13*H13</f>
        <v/>
      </c>
      <c r="K13" s="212" t="n">
        <v>0.22</v>
      </c>
      <c r="L13" s="213">
        <f>J13*K13</f>
        <v/>
      </c>
      <c r="M13" s="199">
        <f>J13+L13</f>
        <v/>
      </c>
      <c r="N13" s="204" t="n"/>
      <c r="O13" s="126" t="inlineStr">
        <is>
          <t>不造标0.6</t>
        </is>
      </c>
      <c r="P13" s="128" t="n"/>
      <c r="Q13" s="128" t="n"/>
      <c r="R13" s="128" t="n"/>
      <c r="S13" s="128" t="n"/>
      <c r="T13" s="128" t="n"/>
      <c r="U13" s="214" t="n"/>
      <c r="V13" s="128" t="n"/>
      <c r="W13" s="53" t="n"/>
      <c r="X13" s="53" t="n"/>
      <c r="Y13" s="53" t="n"/>
      <c r="Z13" s="53" t="n"/>
      <c r="AA13" s="53" t="n"/>
      <c r="AB13" s="215" t="n"/>
      <c r="AC13" s="53" t="n"/>
    </row>
    <row r="14" outlineLevel="1" s="186">
      <c r="A14" s="43" t="n">
        <v>10</v>
      </c>
      <c r="B14" s="204" t="n"/>
      <c r="C14" s="43" t="inlineStr">
        <is>
          <t>公路、铁路RTK</t>
        </is>
      </c>
      <c r="D14" s="43" t="inlineStr">
        <is>
          <t>GPS测量E级</t>
        </is>
      </c>
      <c r="E14" s="43" t="inlineStr">
        <is>
          <t>复杂</t>
        </is>
      </c>
      <c r="F14" s="212" t="inlineStr">
        <is>
          <t>点</t>
        </is>
      </c>
      <c r="G14" s="43" t="n"/>
      <c r="H14" s="43">
        <f>IF(D14="GPS测量E级",VLOOKUP(E14,{"简单","2821";"中等","3203";"复杂","4123"},2,0))+IF(D14="GPS测量D级",VLOOKUP(E14,{"简单","3198";"中等","3632";"复杂","4671"},2,0))+IF(D14="GPS测量C级",VLOOKUP(E14,{"简单","3727";"中等","4274";"复杂","5500"},2,0))</f>
        <v/>
      </c>
      <c r="I14" s="43" t="n">
        <v>0.6</v>
      </c>
      <c r="J14" s="213">
        <f>G14*I14*H14</f>
        <v/>
      </c>
      <c r="K14" s="212" t="n">
        <v>0.22</v>
      </c>
      <c r="L14" s="213">
        <f>J14*K14</f>
        <v/>
      </c>
      <c r="M14" s="199">
        <f>J14+L14</f>
        <v/>
      </c>
      <c r="N14" s="204" t="n"/>
      <c r="O14" s="126" t="inlineStr">
        <is>
          <t>不造标0.6</t>
        </is>
      </c>
      <c r="P14" s="128" t="n"/>
      <c r="Q14" s="128" t="n"/>
      <c r="R14" s="128" t="n"/>
      <c r="S14" s="128" t="n"/>
      <c r="T14" s="128" t="n"/>
      <c r="U14" s="214" t="n"/>
      <c r="V14" s="128" t="n"/>
      <c r="W14" s="53" t="n"/>
      <c r="X14" s="53" t="n"/>
      <c r="Y14" s="53" t="n"/>
      <c r="Z14" s="53" t="n"/>
      <c r="AA14" s="53" t="n"/>
      <c r="AB14" s="215" t="n"/>
      <c r="AC14" s="53" t="n"/>
    </row>
    <row r="15" outlineLevel="1" s="186">
      <c r="A15" s="43" t="n">
        <v>11</v>
      </c>
      <c r="B15" s="197" t="n"/>
      <c r="C15" s="43" t="inlineStr">
        <is>
          <t>小型穿越RTK</t>
        </is>
      </c>
      <c r="D15" s="43" t="inlineStr">
        <is>
          <t>GPS测量E级</t>
        </is>
      </c>
      <c r="E15" s="43" t="inlineStr">
        <is>
          <t>复杂</t>
        </is>
      </c>
      <c r="F15" s="212" t="inlineStr">
        <is>
          <t>点</t>
        </is>
      </c>
      <c r="G15" s="43" t="n"/>
      <c r="H15" s="43">
        <f>IF(D15="GPS测量E级",VLOOKUP(E15,{"简单","2821";"中等","3203";"复杂","4123"},2,0))+IF(D15="GPS测量D级",VLOOKUP(E15,{"简单","3198";"中等","3632";"复杂","4671"},2,0))+IF(D15="GPS测量C级",VLOOKUP(E15,{"简单","3727";"中等","4274";"复杂","5500"},2,0))</f>
        <v/>
      </c>
      <c r="I15" s="43" t="n">
        <v>0.6</v>
      </c>
      <c r="J15" s="213">
        <f>G15*I15*H15</f>
        <v/>
      </c>
      <c r="K15" s="212" t="n">
        <v>0.22</v>
      </c>
      <c r="L15" s="213">
        <f>J15*K15</f>
        <v/>
      </c>
      <c r="M15" s="199">
        <f>J15+L15</f>
        <v/>
      </c>
      <c r="N15" s="197" t="n"/>
      <c r="O15" s="126" t="inlineStr">
        <is>
          <t>不造标0.6</t>
        </is>
      </c>
      <c r="P15" s="128" t="n"/>
      <c r="Q15" s="128" t="n"/>
      <c r="R15" s="128" t="n"/>
      <c r="S15" s="128" t="n"/>
      <c r="T15" s="128" t="n"/>
      <c r="U15" s="214" t="n"/>
      <c r="V15" s="128" t="n"/>
      <c r="W15" s="53" t="n"/>
      <c r="X15" s="53" t="n"/>
      <c r="Y15" s="53" t="n"/>
      <c r="Z15" s="53" t="n"/>
      <c r="AA15" s="53" t="n"/>
      <c r="AB15" s="215" t="n"/>
      <c r="AC15" s="53" t="n"/>
    </row>
    <row r="16" outlineLevel="1" s="186">
      <c r="A16" s="43" t="n">
        <v>19</v>
      </c>
      <c r="B16" s="43" t="inlineStr">
        <is>
          <t>地形图测绘
（地形测量）</t>
        </is>
      </c>
      <c r="C16" s="43" t="inlineStr">
        <is>
          <t>山岭隧道（洞身）</t>
        </is>
      </c>
      <c r="D16" s="43" t="inlineStr">
        <is>
          <t>中等</t>
        </is>
      </c>
      <c r="E16" s="45" t="inlineStr">
        <is>
          <t>1:2000</t>
        </is>
      </c>
      <c r="F16" s="212" t="inlineStr">
        <is>
          <t>km2</t>
        </is>
      </c>
      <c r="G16" s="216" t="n"/>
      <c r="H16" s="43">
        <f>VLOOKUP(D16,{"简单","6676";"中等","8901";"复杂","14244"},2,0)</f>
        <v/>
      </c>
      <c r="I16" s="43" t="n">
        <v>1.8</v>
      </c>
      <c r="J16" s="213">
        <f>G16*I16*H16</f>
        <v/>
      </c>
      <c r="K16" s="212" t="n">
        <v>0.22</v>
      </c>
      <c r="L16" s="213">
        <f>J16*K16</f>
        <v/>
      </c>
      <c r="M16" s="199">
        <f>J16+L16</f>
        <v/>
      </c>
      <c r="N16" s="87" t="inlineStr">
        <is>
          <t xml:space="preserve">
表2.2-2</t>
        </is>
      </c>
      <c r="O16" s="126" t="inlineStr">
        <is>
          <t>数字化测绘、植被覆盖系数0.3</t>
        </is>
      </c>
      <c r="P16" s="128" t="n"/>
      <c r="Q16" s="128" t="n"/>
      <c r="R16" s="128" t="n"/>
      <c r="S16" s="128" t="n"/>
      <c r="T16" s="128" t="n"/>
      <c r="U16" s="214" t="n"/>
      <c r="V16" s="128" t="n"/>
      <c r="W16" s="53" t="n"/>
      <c r="X16" s="53" t="n"/>
      <c r="Y16" s="53" t="n"/>
      <c r="Z16" s="53" t="n"/>
      <c r="AA16" s="53" t="n"/>
      <c r="AB16" s="215" t="n"/>
      <c r="AC16" s="53" t="n"/>
    </row>
    <row r="17" outlineLevel="1" s="186">
      <c r="A17" s="43" t="n">
        <v>20</v>
      </c>
      <c r="B17" s="204" t="n"/>
      <c r="C17" s="43" t="inlineStr">
        <is>
          <t>山岭隧道（洞身）</t>
        </is>
      </c>
      <c r="D17" s="43" t="inlineStr">
        <is>
          <t>复杂</t>
        </is>
      </c>
      <c r="E17" s="45" t="inlineStr">
        <is>
          <t>1:2000</t>
        </is>
      </c>
      <c r="F17" s="212" t="inlineStr">
        <is>
          <t>km2</t>
        </is>
      </c>
      <c r="G17" s="216" t="n"/>
      <c r="H17" s="43">
        <f>VLOOKUP(D17,{"简单","6676";"中等","8901";"复杂","14244"},2,0)</f>
        <v/>
      </c>
      <c r="I17" s="43" t="n">
        <v>1.5</v>
      </c>
      <c r="J17" s="213">
        <f>G17*I17*H17</f>
        <v/>
      </c>
      <c r="K17" s="212" t="n">
        <v>0.22</v>
      </c>
      <c r="L17" s="213">
        <f>J17*K17</f>
        <v/>
      </c>
      <c r="M17" s="199">
        <f>J17+L17</f>
        <v/>
      </c>
      <c r="N17" s="204" t="n"/>
      <c r="O17" s="126" t="inlineStr">
        <is>
          <t>数字化测绘</t>
        </is>
      </c>
      <c r="P17" s="128" t="n"/>
      <c r="Q17" s="128" t="n"/>
      <c r="R17" s="128" t="n"/>
      <c r="S17" s="128" t="n"/>
      <c r="T17" s="128" t="n"/>
      <c r="U17" s="214" t="n"/>
      <c r="V17" s="128" t="n"/>
      <c r="W17" s="53" t="n"/>
      <c r="X17" s="53" t="n"/>
      <c r="Y17" s="53" t="n"/>
      <c r="Z17" s="53" t="n"/>
      <c r="AA17" s="53" t="n"/>
      <c r="AB17" s="215" t="n"/>
      <c r="AC17" s="53" t="n"/>
    </row>
    <row r="18" outlineLevel="1" s="186">
      <c r="A18" s="43" t="n">
        <v>21</v>
      </c>
      <c r="B18" s="204" t="n"/>
      <c r="C18" s="43" t="inlineStr">
        <is>
          <t>山岭隧道（洞口、渣场）</t>
        </is>
      </c>
      <c r="D18" s="43" t="inlineStr">
        <is>
          <t>中等</t>
        </is>
      </c>
      <c r="E18" s="45" t="inlineStr">
        <is>
          <t>1:500</t>
        </is>
      </c>
      <c r="F18" s="212" t="inlineStr">
        <is>
          <t>km2</t>
        </is>
      </c>
      <c r="G18" s="216" t="n"/>
      <c r="H18" s="43">
        <f>VLOOKUP(D18,{"简单","33383";"中等","44510";"复杂","71216"},2,0)</f>
        <v/>
      </c>
      <c r="I18" s="43" t="n">
        <v>1.8</v>
      </c>
      <c r="J18" s="213">
        <f>G18*I18*H18</f>
        <v/>
      </c>
      <c r="K18" s="212" t="n">
        <v>0.22</v>
      </c>
      <c r="L18" s="213">
        <f>J18*K18</f>
        <v/>
      </c>
      <c r="M18" s="199">
        <f>J18+L18</f>
        <v/>
      </c>
      <c r="N18" s="204" t="n"/>
      <c r="O18" s="126" t="inlineStr">
        <is>
          <t>数字化测绘</t>
        </is>
      </c>
      <c r="P18" s="128" t="n"/>
      <c r="Q18" s="128" t="n"/>
      <c r="R18" s="128" t="n"/>
      <c r="S18" s="128" t="n"/>
      <c r="T18" s="128" t="n"/>
      <c r="U18" s="214" t="n"/>
      <c r="V18" s="128" t="n"/>
      <c r="W18" s="53" t="n"/>
      <c r="X18" s="53" t="n"/>
      <c r="Y18" s="53" t="n"/>
      <c r="Z18" s="53" t="n"/>
      <c r="AA18" s="53" t="n"/>
      <c r="AB18" s="215" t="n"/>
      <c r="AC18" s="53" t="n"/>
    </row>
    <row r="19" outlineLevel="1" s="186">
      <c r="A19" s="43" t="n">
        <v>22</v>
      </c>
      <c r="B19" s="204" t="n"/>
      <c r="C19" s="43" t="inlineStr">
        <is>
          <t>山岭隧道（洞口、渣场）</t>
        </is>
      </c>
      <c r="D19" s="43" t="inlineStr">
        <is>
          <t>复杂</t>
        </is>
      </c>
      <c r="E19" s="45" t="inlineStr">
        <is>
          <t>1:500</t>
        </is>
      </c>
      <c r="F19" s="212" t="inlineStr">
        <is>
          <t>km2</t>
        </is>
      </c>
      <c r="G19" s="216" t="n"/>
      <c r="H19" s="43">
        <f>VLOOKUP(D19,{"简单","33383";"中等","44510";"复杂","71216"},2,0)</f>
        <v/>
      </c>
      <c r="I19" s="43" t="n">
        <v>1.5</v>
      </c>
      <c r="J19" s="213">
        <f>G19*I19*H19</f>
        <v/>
      </c>
      <c r="K19" s="212" t="n">
        <v>0.22</v>
      </c>
      <c r="L19" s="213">
        <f>J19*K19</f>
        <v/>
      </c>
      <c r="M19" s="199">
        <f>J19+L19</f>
        <v/>
      </c>
      <c r="N19" s="204" t="n"/>
      <c r="O19" s="126" t="inlineStr">
        <is>
          <t>数字化测绘、植被覆盖系数0.3</t>
        </is>
      </c>
      <c r="P19" s="128" t="n"/>
      <c r="Q19" s="128" t="n"/>
      <c r="R19" s="128" t="n"/>
      <c r="S19" s="128" t="n"/>
      <c r="T19" s="128" t="n"/>
      <c r="U19" s="214" t="n"/>
      <c r="V19" s="128" t="n"/>
      <c r="W19" s="53" t="n"/>
      <c r="X19" s="53" t="n"/>
      <c r="Y19" s="53" t="n"/>
      <c r="Z19" s="53" t="n"/>
      <c r="AA19" s="53" t="n"/>
      <c r="AB19" s="215" t="n"/>
      <c r="AC19" s="53" t="n"/>
    </row>
    <row r="20" outlineLevel="1" s="186">
      <c r="A20" s="43" t="n">
        <v>23</v>
      </c>
      <c r="B20" s="204" t="n"/>
      <c r="C20" s="43" t="inlineStr">
        <is>
          <t>河流大中型穿越（陆地）</t>
        </is>
      </c>
      <c r="D20" s="43" t="inlineStr">
        <is>
          <t>中等</t>
        </is>
      </c>
      <c r="E20" s="45" t="inlineStr">
        <is>
          <t>1:1000</t>
        </is>
      </c>
      <c r="F20" s="212" t="inlineStr">
        <is>
          <t>km2</t>
        </is>
      </c>
      <c r="G20" s="216" t="n"/>
      <c r="H20" s="43">
        <f>VLOOKUP(D20,{"简单","15174";"中等","20232";"复杂","32374"},2,0)</f>
        <v/>
      </c>
      <c r="I20" s="43" t="n">
        <v>1.5</v>
      </c>
      <c r="J20" s="213">
        <f>G20*I20*H20</f>
        <v/>
      </c>
      <c r="K20" s="212" t="n">
        <v>0.22</v>
      </c>
      <c r="L20" s="213">
        <f>J20*K20</f>
        <v/>
      </c>
      <c r="M20" s="199">
        <f>J20+L20</f>
        <v/>
      </c>
      <c r="N20" s="197" t="n"/>
      <c r="O20" s="126" t="inlineStr">
        <is>
          <t>数字化测绘</t>
        </is>
      </c>
      <c r="P20" s="128" t="n"/>
      <c r="Q20" s="128" t="n"/>
      <c r="R20" s="128" t="n"/>
      <c r="S20" s="128" t="n"/>
      <c r="T20" s="128" t="n"/>
      <c r="U20" s="214" t="n"/>
      <c r="V20" s="128" t="n"/>
      <c r="W20" s="53" t="n"/>
      <c r="X20" s="53" t="n"/>
      <c r="Y20" s="53" t="n"/>
      <c r="Z20" s="53" t="n"/>
      <c r="AA20" s="53" t="n"/>
      <c r="AB20" s="215" t="n"/>
      <c r="AC20" s="53" t="n"/>
    </row>
    <row r="21" outlineLevel="1" s="186">
      <c r="A21" s="43" t="n">
        <v>24</v>
      </c>
      <c r="B21" s="204" t="n"/>
      <c r="C21" s="43" t="inlineStr">
        <is>
          <t>河流大中型穿越（水域）</t>
        </is>
      </c>
      <c r="D21" s="43" t="inlineStr">
        <is>
          <t>中等</t>
        </is>
      </c>
      <c r="E21" s="45" t="inlineStr">
        <is>
          <t>1:1000</t>
        </is>
      </c>
      <c r="F21" s="212" t="inlineStr">
        <is>
          <t>km2</t>
        </is>
      </c>
      <c r="G21" s="43" t="n"/>
      <c r="H21" s="43">
        <f>VLOOKUP(D21,{"简单","40464";"中等","53817";"复杂","75680"},2,0)</f>
        <v/>
      </c>
      <c r="I21" s="43" t="n">
        <v>1.5</v>
      </c>
      <c r="J21" s="213">
        <f>G21*I21*H21</f>
        <v/>
      </c>
      <c r="K21" s="212" t="n">
        <v>0.22</v>
      </c>
      <c r="L21" s="213">
        <f>J21*K21</f>
        <v/>
      </c>
      <c r="M21" s="199">
        <f>J21+L21</f>
        <v/>
      </c>
      <c r="N21" s="87" t="inlineStr">
        <is>
          <t>表2.3-2</t>
        </is>
      </c>
      <c r="O21" s="126" t="inlineStr">
        <is>
          <t>数字化测绘</t>
        </is>
      </c>
      <c r="P21" s="128" t="n"/>
      <c r="Q21" s="128" t="n"/>
      <c r="R21" s="128" t="n"/>
      <c r="S21" s="128" t="n"/>
      <c r="T21" s="128" t="n"/>
      <c r="U21" s="214" t="n"/>
      <c r="V21" s="128" t="n"/>
      <c r="W21" s="53" t="n"/>
      <c r="X21" s="53" t="n"/>
      <c r="Y21" s="53" t="n"/>
      <c r="Z21" s="53" t="n"/>
      <c r="AA21" s="53" t="n"/>
      <c r="AB21" s="215" t="n"/>
      <c r="AC21" s="53" t="n"/>
    </row>
    <row r="22" outlineLevel="1" s="186">
      <c r="A22" s="43" t="n">
        <v>25</v>
      </c>
      <c r="B22" s="204" t="n"/>
      <c r="C22" s="43" t="inlineStr">
        <is>
          <t>连片鱼塘穿越</t>
        </is>
      </c>
      <c r="D22" s="43" t="inlineStr">
        <is>
          <t>复杂</t>
        </is>
      </c>
      <c r="E22" s="45" t="inlineStr">
        <is>
          <t>1:1000</t>
        </is>
      </c>
      <c r="F22" s="212" t="inlineStr">
        <is>
          <t>km2</t>
        </is>
      </c>
      <c r="G22" s="43" t="n"/>
      <c r="H22" s="43">
        <f>VLOOKUP(D22,{"简单","15174";"中等","20232";"复杂","32374"},2,0)</f>
        <v/>
      </c>
      <c r="I22" s="43" t="n">
        <v>1.5</v>
      </c>
      <c r="J22" s="213">
        <f>G22*I22*H22</f>
        <v/>
      </c>
      <c r="K22" s="212" t="n">
        <v>0.22</v>
      </c>
      <c r="L22" s="213">
        <f>J22*K22</f>
        <v/>
      </c>
      <c r="M22" s="199">
        <f>J22+L22</f>
        <v/>
      </c>
      <c r="N22" s="87" t="inlineStr">
        <is>
          <t>表2.2-2</t>
        </is>
      </c>
      <c r="O22" s="126" t="inlineStr">
        <is>
          <t>数字化测绘</t>
        </is>
      </c>
      <c r="P22" s="128" t="n"/>
      <c r="Q22" s="128" t="n"/>
      <c r="R22" s="128" t="n"/>
      <c r="S22" s="128" t="n"/>
      <c r="T22" s="128" t="n"/>
      <c r="U22" s="214" t="n"/>
      <c r="V22" s="128" t="n"/>
      <c r="W22" s="53" t="n"/>
      <c r="X22" s="53" t="n"/>
      <c r="Y22" s="53" t="n"/>
      <c r="Z22" s="53" t="n"/>
      <c r="AA22" s="53" t="n"/>
      <c r="AB22" s="215" t="n"/>
      <c r="AC22" s="53" t="n"/>
    </row>
    <row r="23" outlineLevel="1" s="186">
      <c r="A23" s="43" t="n">
        <v>26</v>
      </c>
      <c r="B23" s="204" t="n"/>
      <c r="C23" s="53" t="inlineStr">
        <is>
          <t>山体定向钻</t>
        </is>
      </c>
      <c r="D23" s="53" t="inlineStr">
        <is>
          <t>复杂</t>
        </is>
      </c>
      <c r="E23" s="45" t="inlineStr">
        <is>
          <t>1:1000</t>
        </is>
      </c>
      <c r="F23" s="212" t="inlineStr">
        <is>
          <t>km2</t>
        </is>
      </c>
      <c r="G23" s="43" t="n"/>
      <c r="H23" s="43">
        <f>VLOOKUP(D23,{"简单","15174";"中等","20232";"复杂","32374"},2,0)</f>
        <v/>
      </c>
      <c r="I23" s="43" t="n">
        <v>1.8</v>
      </c>
      <c r="J23" s="213">
        <f>G23*I23*H23</f>
        <v/>
      </c>
      <c r="K23" s="212" t="n">
        <v>0.22</v>
      </c>
      <c r="L23" s="213">
        <f>J23*K23</f>
        <v/>
      </c>
      <c r="M23" s="199">
        <f>J23+L23</f>
        <v/>
      </c>
      <c r="N23" s="204" t="n"/>
      <c r="O23" s="126" t="inlineStr">
        <is>
          <t>数字化测绘、植被覆盖系数0.3</t>
        </is>
      </c>
      <c r="P23" s="128" t="n"/>
      <c r="Q23" s="128" t="n"/>
      <c r="R23" s="128" t="n"/>
      <c r="S23" s="128" t="n"/>
      <c r="T23" s="128" t="n"/>
      <c r="U23" s="214" t="n"/>
      <c r="V23" s="128" t="n"/>
      <c r="W23" s="53" t="n"/>
      <c r="X23" s="53" t="n"/>
      <c r="Y23" s="53" t="n"/>
      <c r="Z23" s="53" t="n"/>
      <c r="AA23" s="53" t="n"/>
      <c r="AB23" s="215" t="n"/>
      <c r="AC23" s="53" t="n"/>
    </row>
    <row r="24" outlineLevel="1" s="186">
      <c r="A24" s="43" t="n">
        <v>27</v>
      </c>
      <c r="B24" s="204" t="n"/>
      <c r="C24" s="43" t="inlineStr">
        <is>
          <t>站场（地形图）</t>
        </is>
      </c>
      <c r="D24" s="43" t="inlineStr">
        <is>
          <t>复杂</t>
        </is>
      </c>
      <c r="E24" s="45" t="inlineStr">
        <is>
          <t>1:500</t>
        </is>
      </c>
      <c r="F24" s="212" t="inlineStr">
        <is>
          <t>km2</t>
        </is>
      </c>
      <c r="G24" s="43" t="n">
        <v>0.25</v>
      </c>
      <c r="H24" s="43">
        <f>VLOOKUP(D24,{"简单","33383";"中等","44510";"复杂","71216"},2,0)</f>
        <v/>
      </c>
      <c r="I24" s="43" t="n">
        <v>2</v>
      </c>
      <c r="J24" s="213">
        <f>G24*I24*H24</f>
        <v/>
      </c>
      <c r="K24" s="212" t="n">
        <v>0.22</v>
      </c>
      <c r="L24" s="213">
        <f>J24*K24</f>
        <v/>
      </c>
      <c r="M24" s="199">
        <f>G24*I24*H24*(1+K24)</f>
        <v/>
      </c>
      <c r="N24" s="204" t="n"/>
      <c r="O24" s="126" t="inlineStr">
        <is>
          <t>数字化测绘</t>
        </is>
      </c>
      <c r="P24" s="128" t="n"/>
      <c r="Q24" s="128" t="n"/>
      <c r="R24" s="128" t="n"/>
      <c r="S24" s="128" t="n"/>
      <c r="T24" s="128" t="n"/>
      <c r="U24" s="214" t="n"/>
      <c r="V24" s="128" t="n"/>
      <c r="W24" s="53" t="n"/>
      <c r="X24" s="53" t="n"/>
      <c r="Y24" s="53" t="n"/>
      <c r="Z24" s="53" t="n"/>
      <c r="AA24" s="53" t="n"/>
      <c r="AB24" s="215" t="n"/>
      <c r="AC24" s="53" t="n"/>
    </row>
    <row r="25" outlineLevel="1" s="186">
      <c r="A25" s="43" t="n">
        <v>28</v>
      </c>
      <c r="B25" s="204" t="n"/>
      <c r="C25" s="43" t="inlineStr">
        <is>
          <t>站场（区位图）</t>
        </is>
      </c>
      <c r="D25" s="43" t="inlineStr">
        <is>
          <t>中等</t>
        </is>
      </c>
      <c r="E25" s="45" t="inlineStr">
        <is>
          <t>1:2000</t>
        </is>
      </c>
      <c r="F25" s="212" t="inlineStr">
        <is>
          <t>km2</t>
        </is>
      </c>
      <c r="G25" s="43" t="n"/>
      <c r="H25" s="43">
        <f>VLOOKUP(D25,{"简单","6676";"中等","8901";"复杂","14244"},2,0)</f>
        <v/>
      </c>
      <c r="I25" s="43" t="n">
        <v>1.8</v>
      </c>
      <c r="J25" s="213">
        <f>G25*I25*H25</f>
        <v/>
      </c>
      <c r="K25" s="212" t="n">
        <v>0.22</v>
      </c>
      <c r="L25" s="213">
        <f>J25*K25</f>
        <v/>
      </c>
      <c r="M25" s="199">
        <f>J25+L25</f>
        <v/>
      </c>
      <c r="N25" s="204" t="n"/>
      <c r="O25" s="126" t="inlineStr">
        <is>
          <t>数字化测绘</t>
        </is>
      </c>
      <c r="P25" s="128" t="n"/>
      <c r="Q25" s="128" t="n"/>
      <c r="R25" s="128" t="n"/>
      <c r="S25" s="128" t="n"/>
      <c r="T25" s="128" t="n"/>
      <c r="U25" s="214" t="n"/>
      <c r="V25" s="128" t="n"/>
      <c r="W25" s="53" t="n"/>
      <c r="X25" s="53" t="n"/>
      <c r="Y25" s="53" t="n"/>
      <c r="Z25" s="53" t="n"/>
      <c r="AA25" s="53" t="n"/>
      <c r="AB25" s="215" t="n"/>
      <c r="AC25" s="53" t="n"/>
    </row>
    <row r="26" outlineLevel="1" s="186">
      <c r="A26" s="43" t="n">
        <v>29</v>
      </c>
      <c r="B26" s="204" t="n"/>
      <c r="C26" s="43" t="inlineStr">
        <is>
          <t>阀室</t>
        </is>
      </c>
      <c r="D26" s="43" t="inlineStr">
        <is>
          <t>复杂</t>
        </is>
      </c>
      <c r="E26" s="45" t="inlineStr">
        <is>
          <t>1:500</t>
        </is>
      </c>
      <c r="F26" s="212" t="inlineStr">
        <is>
          <t>km2</t>
        </is>
      </c>
      <c r="G26" s="43" t="n"/>
      <c r="H26" s="43">
        <f>VLOOKUP(D26,{"简单","33383";"中等","44510";"复杂","71216"},2,0)</f>
        <v/>
      </c>
      <c r="I26" s="43" t="n">
        <v>1.8</v>
      </c>
      <c r="J26" s="213">
        <f>G26*I26*H26</f>
        <v/>
      </c>
      <c r="K26" s="212" t="n">
        <v>0.22</v>
      </c>
      <c r="L26" s="213">
        <f>J26*K26</f>
        <v/>
      </c>
      <c r="M26" s="199">
        <f>J26+L26</f>
        <v/>
      </c>
      <c r="N26" s="204" t="n"/>
      <c r="O26" s="126" t="inlineStr">
        <is>
          <t>数字化测绘</t>
        </is>
      </c>
      <c r="P26" s="128" t="n"/>
      <c r="Q26" s="128" t="n"/>
      <c r="R26" s="128" t="n"/>
      <c r="S26" s="128" t="n"/>
      <c r="T26" s="128" t="n"/>
      <c r="U26" s="214" t="n"/>
      <c r="V26" s="128" t="n"/>
      <c r="W26" s="53" t="n"/>
      <c r="X26" s="53" t="n"/>
      <c r="Y26" s="53" t="n"/>
      <c r="Z26" s="53" t="n"/>
      <c r="AA26" s="53" t="n"/>
      <c r="AB26" s="215" t="n"/>
      <c r="AC26" s="53" t="n"/>
    </row>
    <row r="27" outlineLevel="1" s="186">
      <c r="A27" s="43" t="n">
        <v>30</v>
      </c>
      <c r="B27" s="204" t="n"/>
      <c r="C27" s="43" t="inlineStr">
        <is>
          <t>阀室</t>
        </is>
      </c>
      <c r="D27" s="43" t="inlineStr">
        <is>
          <t>中等</t>
        </is>
      </c>
      <c r="E27" s="45" t="inlineStr">
        <is>
          <t>1:500</t>
        </is>
      </c>
      <c r="F27" s="212" t="inlineStr">
        <is>
          <t>km2</t>
        </is>
      </c>
      <c r="G27" s="43" t="n"/>
      <c r="H27" s="43">
        <f>VLOOKUP(D27,{"简单","33383";"中等","44510";"复杂","71216"},2,0)</f>
        <v/>
      </c>
      <c r="I27" s="43" t="n">
        <v>1.5</v>
      </c>
      <c r="J27" s="213">
        <f>G27*I27*H27</f>
        <v/>
      </c>
      <c r="K27" s="212" t="n">
        <v>0.22</v>
      </c>
      <c r="L27" s="213">
        <f>J27*K27</f>
        <v/>
      </c>
      <c r="M27" s="199">
        <f>J27+L27</f>
        <v/>
      </c>
      <c r="N27" s="204" t="n"/>
      <c r="O27" s="126" t="inlineStr">
        <is>
          <t>数字化测绘</t>
        </is>
      </c>
      <c r="P27" s="128" t="n"/>
      <c r="Q27" s="128" t="n"/>
      <c r="R27" s="128" t="n"/>
      <c r="S27" s="128" t="n"/>
      <c r="T27" s="128" t="n"/>
      <c r="U27" s="214" t="n"/>
      <c r="V27" s="128" t="n"/>
      <c r="W27" s="53" t="n"/>
      <c r="X27" s="53" t="n"/>
      <c r="Y27" s="53" t="n"/>
      <c r="Z27" s="53" t="n"/>
      <c r="AA27" s="53" t="n"/>
      <c r="AB27" s="215" t="n"/>
      <c r="AC27" s="53" t="n"/>
    </row>
    <row r="28" outlineLevel="1" s="186">
      <c r="A28" s="43" t="n">
        <v>31</v>
      </c>
      <c r="B28" s="197" t="n"/>
      <c r="C28" s="43" t="inlineStr">
        <is>
          <t>公路、铁路、小型穿越</t>
        </is>
      </c>
      <c r="D28" s="43" t="inlineStr">
        <is>
          <t>中等</t>
        </is>
      </c>
      <c r="E28" s="45" t="inlineStr">
        <is>
          <t>1:500</t>
        </is>
      </c>
      <c r="F28" s="212" t="inlineStr">
        <is>
          <t>km2</t>
        </is>
      </c>
      <c r="G28" s="43" t="n"/>
      <c r="H28" s="43">
        <f>VLOOKUP(D28,{"简单","33383";"中等","44510";"复杂","71216"},2,0)</f>
        <v/>
      </c>
      <c r="I28" s="43" t="n">
        <v>1.5</v>
      </c>
      <c r="J28" s="213">
        <f>G28*I28*H28</f>
        <v/>
      </c>
      <c r="K28" s="212" t="n">
        <v>0.22</v>
      </c>
      <c r="L28" s="213">
        <f>J28*K28</f>
        <v/>
      </c>
      <c r="M28" s="199">
        <f>J28+L28</f>
        <v/>
      </c>
      <c r="N28" s="204" t="n"/>
      <c r="O28" s="126" t="inlineStr">
        <is>
          <t>数字化测绘</t>
        </is>
      </c>
      <c r="P28" s="128" t="n"/>
      <c r="Q28" s="128" t="n"/>
      <c r="R28" s="128" t="n"/>
      <c r="S28" s="128" t="n"/>
      <c r="T28" s="128" t="n"/>
      <c r="U28" s="214" t="n"/>
      <c r="V28" s="128" t="n"/>
      <c r="W28" s="53" t="n"/>
      <c r="X28" s="53" t="n"/>
      <c r="Y28" s="53" t="n"/>
      <c r="Z28" s="53" t="n"/>
      <c r="AA28" s="53" t="n"/>
      <c r="AB28" s="215" t="n"/>
      <c r="AC28" s="53" t="n"/>
    </row>
    <row r="29" outlineLevel="1" s="186">
      <c r="A29" s="43" t="n">
        <v>32</v>
      </c>
      <c r="B29" s="43" t="inlineStr">
        <is>
          <t>断面测量</t>
        </is>
      </c>
      <c r="C29" s="43" t="inlineStr">
        <is>
          <t>线路纵断面</t>
        </is>
      </c>
      <c r="D29" s="43" t="inlineStr">
        <is>
          <t>中等</t>
        </is>
      </c>
      <c r="E29" s="45" t="inlineStr">
        <is>
          <t>1:2000</t>
        </is>
      </c>
      <c r="F29" s="212" t="inlineStr">
        <is>
          <t>km</t>
        </is>
      </c>
      <c r="G29" s="43" t="n"/>
      <c r="H29" s="43">
        <f>VLOOKUP(D29,{"简单","468";"中等","625";"复杂","860"},2,0)</f>
        <v/>
      </c>
      <c r="I29" s="43" t="n">
        <v>1.5</v>
      </c>
      <c r="J29" s="213">
        <f>G29*I29*H29</f>
        <v/>
      </c>
      <c r="K29" s="212" t="n">
        <v>0.22</v>
      </c>
      <c r="L29" s="213">
        <f>J29*K29</f>
        <v/>
      </c>
      <c r="M29" s="199">
        <f>J29+L29</f>
        <v/>
      </c>
      <c r="N29" s="204" t="n"/>
      <c r="O29" s="126" t="inlineStr">
        <is>
          <t>植被覆盖系数0.3</t>
        </is>
      </c>
      <c r="P29" s="128" t="n"/>
      <c r="Q29" s="128" t="n"/>
      <c r="R29" s="128" t="n"/>
      <c r="S29" s="128" t="n"/>
      <c r="T29" s="128" t="n"/>
      <c r="U29" s="214" t="n"/>
      <c r="V29" s="128" t="n"/>
      <c r="W29" s="53" t="n"/>
      <c r="X29" s="53" t="n"/>
      <c r="Y29" s="53" t="n"/>
      <c r="Z29" s="53" t="n"/>
      <c r="AA29" s="53" t="n"/>
      <c r="AB29" s="215" t="n"/>
      <c r="AC29" s="53" t="n"/>
    </row>
    <row r="30" outlineLevel="1" s="186">
      <c r="A30" s="43" t="n">
        <v>33</v>
      </c>
      <c r="B30" s="204" t="n"/>
      <c r="C30" s="43" t="inlineStr">
        <is>
          <t>山岭隧道（洞身）</t>
        </is>
      </c>
      <c r="D30" s="43" t="inlineStr">
        <is>
          <t>复杂</t>
        </is>
      </c>
      <c r="E30" s="45" t="inlineStr">
        <is>
          <t>1:2000</t>
        </is>
      </c>
      <c r="F30" s="212" t="inlineStr">
        <is>
          <t>km</t>
        </is>
      </c>
      <c r="G30" s="43" t="n"/>
      <c r="H30" s="43">
        <f>VLOOKUP(D30,{"简单","468";"中等","625";"复杂","860"},2,0)</f>
        <v/>
      </c>
      <c r="I30" s="43" t="n">
        <v>1.5</v>
      </c>
      <c r="J30" s="213">
        <f>G30*I30*H30</f>
        <v/>
      </c>
      <c r="K30" s="212" t="n">
        <v>0.22</v>
      </c>
      <c r="L30" s="213">
        <f>J30*K30</f>
        <v/>
      </c>
      <c r="M30" s="199">
        <f>J30+L30</f>
        <v/>
      </c>
      <c r="N30" s="204" t="n"/>
      <c r="O30" s="126" t="inlineStr">
        <is>
          <t>植被覆盖系数0.3</t>
        </is>
      </c>
      <c r="P30" s="128" t="n"/>
      <c r="Q30" s="128" t="n"/>
      <c r="R30" s="128" t="n"/>
      <c r="S30" s="128" t="n"/>
      <c r="T30" s="128" t="n"/>
      <c r="U30" s="214" t="n"/>
      <c r="V30" s="128" t="n"/>
      <c r="W30" s="53" t="n"/>
      <c r="X30" s="53" t="n"/>
      <c r="Y30" s="53" t="n"/>
      <c r="Z30" s="53" t="n"/>
      <c r="AA30" s="53" t="n"/>
      <c r="AB30" s="215" t="n"/>
      <c r="AC30" s="53" t="n"/>
    </row>
    <row r="31" outlineLevel="1" s="186">
      <c r="A31" s="43" t="n">
        <v>34</v>
      </c>
      <c r="B31" s="204" t="n"/>
      <c r="C31" s="43" t="inlineStr">
        <is>
          <t>山岭隧道（洞口）</t>
        </is>
      </c>
      <c r="D31" s="43" t="inlineStr">
        <is>
          <t>复杂</t>
        </is>
      </c>
      <c r="E31" s="45" t="inlineStr">
        <is>
          <t>1:500</t>
        </is>
      </c>
      <c r="F31" s="212" t="inlineStr">
        <is>
          <t>km</t>
        </is>
      </c>
      <c r="G31" s="43" t="n"/>
      <c r="H31" s="43">
        <f>VLOOKUP(D31,{"简单","785";"中等","1047";"复杂","1440"},2,0)</f>
        <v/>
      </c>
      <c r="I31" s="43" t="n">
        <v>1.5</v>
      </c>
      <c r="J31" s="213">
        <f>G31*I31*H31</f>
        <v/>
      </c>
      <c r="K31" s="212" t="n">
        <v>0.22</v>
      </c>
      <c r="L31" s="213">
        <f>J31*K31</f>
        <v/>
      </c>
      <c r="M31" s="199">
        <f>J31+L31</f>
        <v/>
      </c>
      <c r="N31" s="204" t="n"/>
      <c r="O31" s="126" t="inlineStr">
        <is>
          <t>植被覆盖系数0.3</t>
        </is>
      </c>
      <c r="P31" s="128" t="n"/>
      <c r="Q31" s="128" t="n"/>
      <c r="R31" s="128" t="n"/>
      <c r="S31" s="128" t="n"/>
      <c r="T31" s="128" t="n"/>
      <c r="U31" s="214" t="n"/>
      <c r="V31" s="128" t="n"/>
      <c r="W31" s="53" t="n"/>
      <c r="X31" s="53" t="n"/>
      <c r="Y31" s="53" t="n"/>
      <c r="Z31" s="53" t="n"/>
      <c r="AA31" s="53" t="n"/>
      <c r="AB31" s="215" t="n"/>
      <c r="AC31" s="53" t="n"/>
    </row>
    <row r="32" outlineLevel="1" s="186">
      <c r="A32" s="43" t="n">
        <v>35</v>
      </c>
      <c r="B32" s="204" t="n"/>
      <c r="C32" s="43" t="inlineStr">
        <is>
          <t>河流大中型穿越（陆地）</t>
        </is>
      </c>
      <c r="D32" s="43" t="inlineStr">
        <is>
          <t>中等</t>
        </is>
      </c>
      <c r="E32" s="45" t="inlineStr">
        <is>
          <t>1:1000</t>
        </is>
      </c>
      <c r="F32" s="45" t="inlineStr">
        <is>
          <t>km</t>
        </is>
      </c>
      <c r="G32" s="43" t="n"/>
      <c r="H32" s="43">
        <f>VLOOKUP(D32,{"简单","607";"中等","809";"复杂","1113"},2,0)</f>
        <v/>
      </c>
      <c r="I32" s="43" t="n">
        <v>1.3</v>
      </c>
      <c r="J32" s="213">
        <f>G32*I32*H32</f>
        <v/>
      </c>
      <c r="K32" s="212" t="n">
        <v>0.22</v>
      </c>
      <c r="L32" s="213">
        <f>J32*K32</f>
        <v/>
      </c>
      <c r="M32" s="199">
        <f>J32+L32</f>
        <v/>
      </c>
      <c r="N32" s="197" t="n"/>
      <c r="O32" s="126" t="inlineStr">
        <is>
          <t>植被覆盖系数0.3</t>
        </is>
      </c>
      <c r="P32" s="128" t="n"/>
      <c r="Q32" s="128" t="n"/>
      <c r="R32" s="128" t="n"/>
      <c r="S32" s="128" t="n"/>
      <c r="T32" s="128" t="n"/>
      <c r="U32" s="214" t="n"/>
      <c r="V32" s="128" t="n"/>
      <c r="W32" s="53" t="n"/>
      <c r="X32" s="53" t="n"/>
      <c r="Y32" s="53" t="n"/>
      <c r="Z32" s="53" t="n"/>
      <c r="AA32" s="53" t="n"/>
      <c r="AB32" s="215" t="n"/>
      <c r="AC32" s="53" t="n"/>
    </row>
    <row r="33" outlineLevel="1" s="186">
      <c r="A33" s="43" t="n">
        <v>36</v>
      </c>
      <c r="B33" s="204" t="n"/>
      <c r="C33" s="43" t="inlineStr">
        <is>
          <t>河流大中型穿越（水域）</t>
        </is>
      </c>
      <c r="D33" s="43" t="inlineStr">
        <is>
          <t>中等</t>
        </is>
      </c>
      <c r="E33" s="45" t="inlineStr">
        <is>
          <t>1:1000</t>
        </is>
      </c>
      <c r="F33" s="45" t="inlineStr">
        <is>
          <t>km</t>
        </is>
      </c>
      <c r="G33" s="43" t="n"/>
      <c r="H33" s="43">
        <f>VLOOKUP(D33,{"简单","2023";"中等","2698";"复杂","4046"},2,0)</f>
        <v/>
      </c>
      <c r="I33" s="43" t="n">
        <v>1</v>
      </c>
      <c r="J33" s="213">
        <f>G33*I33*H33</f>
        <v/>
      </c>
      <c r="K33" s="212" t="n">
        <v>0.22</v>
      </c>
      <c r="L33" s="213">
        <f>J33*K33</f>
        <v/>
      </c>
      <c r="M33" s="199">
        <f>J33+L33</f>
        <v/>
      </c>
      <c r="N33" s="53" t="inlineStr">
        <is>
          <t>表2.3-1</t>
        </is>
      </c>
      <c r="O33" s="126" t="inlineStr">
        <is>
          <t>植被覆盖系数0.3</t>
        </is>
      </c>
      <c r="P33" s="128" t="n"/>
      <c r="Q33" s="128" t="n"/>
      <c r="R33" s="128" t="n"/>
      <c r="S33" s="128" t="n"/>
      <c r="T33" s="128" t="n"/>
      <c r="U33" s="214" t="n"/>
      <c r="V33" s="128" t="n"/>
      <c r="W33" s="53" t="n"/>
      <c r="X33" s="53" t="n"/>
      <c r="Y33" s="53" t="n"/>
      <c r="Z33" s="53" t="n"/>
      <c r="AA33" s="53" t="n"/>
      <c r="AB33" s="215" t="n"/>
      <c r="AC33" s="53" t="n"/>
    </row>
    <row r="34" outlineLevel="1" s="186">
      <c r="A34" s="43" t="n">
        <v>37</v>
      </c>
      <c r="B34" s="204" t="n"/>
      <c r="C34" s="43" t="inlineStr">
        <is>
          <t>连片鱼塘穿越</t>
        </is>
      </c>
      <c r="D34" s="43" t="inlineStr">
        <is>
          <t>中等</t>
        </is>
      </c>
      <c r="E34" s="45" t="inlineStr">
        <is>
          <t>1:1000</t>
        </is>
      </c>
      <c r="F34" s="45" t="inlineStr">
        <is>
          <t>km</t>
        </is>
      </c>
      <c r="G34" s="43" t="n"/>
      <c r="H34" s="43">
        <f>VLOOKUP(D34,{"简单","607";"中等","809";"复杂","1113"},2,0)</f>
        <v/>
      </c>
      <c r="I34" s="43" t="n">
        <v>1.5</v>
      </c>
      <c r="J34" s="213">
        <f>G34*I34*H34</f>
        <v/>
      </c>
      <c r="K34" s="212" t="n">
        <v>0.22</v>
      </c>
      <c r="L34" s="213">
        <f>J34*K34</f>
        <v/>
      </c>
      <c r="M34" s="199">
        <f>J34+L34</f>
        <v/>
      </c>
      <c r="N34" s="53" t="inlineStr">
        <is>
          <t>表2.2-2</t>
        </is>
      </c>
      <c r="O34" s="126" t="inlineStr">
        <is>
          <t>植被覆盖系数0.3</t>
        </is>
      </c>
      <c r="P34" s="128" t="n"/>
      <c r="Q34" s="128" t="n"/>
      <c r="R34" s="128" t="n"/>
      <c r="S34" s="128" t="n"/>
      <c r="T34" s="128" t="n"/>
      <c r="U34" s="214" t="n"/>
      <c r="V34" s="128" t="n"/>
      <c r="W34" s="53" t="n"/>
      <c r="X34" s="53" t="n"/>
      <c r="Y34" s="53" t="n"/>
      <c r="Z34" s="53" t="n"/>
      <c r="AA34" s="53" t="n"/>
      <c r="AB34" s="215" t="n"/>
      <c r="AC34" s="53" t="n"/>
    </row>
    <row r="35" outlineLevel="1" s="186">
      <c r="A35" s="43" t="n">
        <v>38</v>
      </c>
      <c r="B35" s="204" t="n"/>
      <c r="C35" s="53" t="inlineStr">
        <is>
          <t>山体定向钻</t>
        </is>
      </c>
      <c r="D35" s="53" t="inlineStr">
        <is>
          <t>复杂</t>
        </is>
      </c>
      <c r="E35" s="45" t="inlineStr">
        <is>
          <t>1:1000</t>
        </is>
      </c>
      <c r="F35" s="212" t="inlineStr">
        <is>
          <t>km</t>
        </is>
      </c>
      <c r="G35" s="43" t="n"/>
      <c r="H35" s="43">
        <f>VLOOKUP(D35,{"简单","607";"中等","809";"复杂","1113"},2,0)</f>
        <v/>
      </c>
      <c r="I35" s="43" t="n">
        <v>1.5</v>
      </c>
      <c r="J35" s="213">
        <f>G35*I35*H35</f>
        <v/>
      </c>
      <c r="K35" s="212" t="n">
        <v>0.22</v>
      </c>
      <c r="L35" s="213">
        <f>J35*K35</f>
        <v/>
      </c>
      <c r="M35" s="199">
        <f>J35+L35</f>
        <v/>
      </c>
      <c r="N35" s="204" t="n"/>
      <c r="O35" s="126" t="inlineStr">
        <is>
          <t>植被覆盖系数0.3</t>
        </is>
      </c>
      <c r="P35" s="128" t="n"/>
      <c r="Q35" s="128" t="n"/>
      <c r="R35" s="128" t="n"/>
      <c r="S35" s="128" t="n"/>
      <c r="T35" s="128" t="n"/>
      <c r="U35" s="214" t="n"/>
      <c r="V35" s="128" t="n"/>
      <c r="W35" s="53" t="n"/>
      <c r="X35" s="53" t="n"/>
      <c r="Y35" s="53" t="n"/>
      <c r="Z35" s="53" t="n"/>
      <c r="AA35" s="53" t="n"/>
      <c r="AB35" s="215" t="n"/>
      <c r="AC35" s="53" t="n"/>
    </row>
    <row r="36" outlineLevel="1" s="186">
      <c r="A36" s="43" t="n">
        <v>39</v>
      </c>
      <c r="B36" s="197" t="n"/>
      <c r="C36" s="43" t="inlineStr">
        <is>
          <t>公路、铁路、小型穿越</t>
        </is>
      </c>
      <c r="D36" s="43" t="inlineStr">
        <is>
          <t>中等</t>
        </is>
      </c>
      <c r="E36" s="45" t="inlineStr">
        <is>
          <t>1:500</t>
        </is>
      </c>
      <c r="F36" s="212" t="inlineStr">
        <is>
          <t>km</t>
        </is>
      </c>
      <c r="G36" s="43" t="n"/>
      <c r="H36" s="43">
        <f>VLOOKUP(D36,{"简单","785";"中等","1047";"复杂","1440"},2,0)</f>
        <v/>
      </c>
      <c r="I36" s="43" t="n">
        <v>1.5</v>
      </c>
      <c r="J36" s="213">
        <f>G36*I36*H36</f>
        <v/>
      </c>
      <c r="K36" s="212" t="n">
        <v>0.22</v>
      </c>
      <c r="L36" s="213">
        <f>J36*K36</f>
        <v/>
      </c>
      <c r="M36" s="199">
        <f>J36+L36</f>
        <v/>
      </c>
      <c r="N36" s="197" t="n"/>
      <c r="O36" s="126" t="inlineStr">
        <is>
          <t>植被覆盖系数0.3</t>
        </is>
      </c>
      <c r="P36" s="128" t="n"/>
      <c r="Q36" s="128" t="n"/>
      <c r="R36" s="128" t="n"/>
      <c r="S36" s="128" t="n"/>
      <c r="T36" s="128" t="n"/>
      <c r="U36" s="214" t="n"/>
      <c r="V36" s="128" t="n"/>
      <c r="W36" s="53" t="n"/>
      <c r="X36" s="53" t="n"/>
      <c r="Y36" s="53" t="n"/>
      <c r="Z36" s="53" t="n"/>
      <c r="AA36" s="53" t="n"/>
      <c r="AB36" s="215" t="n"/>
      <c r="AC36" s="53" t="n"/>
    </row>
    <row r="37" outlineLevel="1" s="186">
      <c r="A37" s="43" t="n">
        <v>40</v>
      </c>
      <c r="B37" s="87" t="inlineStr">
        <is>
          <t>地下
管线
测量</t>
        </is>
      </c>
      <c r="C37" s="113" t="inlineStr">
        <is>
          <t>地下管线测量</t>
        </is>
      </c>
      <c r="D37" s="43" t="inlineStr">
        <is>
          <t>复杂</t>
        </is>
      </c>
      <c r="E37" s="45" t="inlineStr">
        <is>
          <t>/</t>
        </is>
      </c>
      <c r="F37" s="212" t="inlineStr">
        <is>
          <t>km</t>
        </is>
      </c>
      <c r="G37" s="43" t="n">
        <v>1.5</v>
      </c>
      <c r="H37" s="43">
        <f>VLOOKUP(D37,{"简单","1416";"中等","1700";"复杂","2337"},2,0)</f>
        <v/>
      </c>
      <c r="I37" s="53" t="n">
        <v>1</v>
      </c>
      <c r="J37" s="213">
        <f>G37*I37*H37</f>
        <v/>
      </c>
      <c r="K37" s="212" t="n">
        <v>0.22</v>
      </c>
      <c r="L37" s="213">
        <f>J37*K37</f>
        <v/>
      </c>
      <c r="M37" s="199" t="n">
        <v>5000</v>
      </c>
      <c r="N37" s="53" t="inlineStr">
        <is>
          <t>表2.4-1</t>
        </is>
      </c>
      <c r="O37" s="129" t="inlineStr">
        <is>
          <t>地下管线测量部分（预估工作量）</t>
        </is>
      </c>
      <c r="P37" s="128" t="n"/>
      <c r="Q37" s="128" t="n"/>
      <c r="R37" s="128" t="n"/>
      <c r="S37" s="128" t="n"/>
      <c r="T37" s="128" t="n"/>
      <c r="U37" s="214" t="n"/>
      <c r="V37" s="128" t="n"/>
      <c r="W37" s="53" t="n"/>
      <c r="X37" s="53" t="n"/>
      <c r="Y37" s="53" t="n"/>
      <c r="Z37" s="53" t="n"/>
      <c r="AA37" s="53" t="n"/>
      <c r="AB37" s="215" t="n"/>
      <c r="AC37" s="53" t="n"/>
    </row>
    <row r="38" outlineLevel="1" s="186">
      <c r="A38" s="43" t="n">
        <v>41</v>
      </c>
      <c r="B38" s="204" t="n"/>
      <c r="C38" s="113" t="inlineStr">
        <is>
          <t>盲探管线</t>
        </is>
      </c>
      <c r="D38" s="43" t="inlineStr">
        <is>
          <t>中等</t>
        </is>
      </c>
      <c r="E38" s="45" t="n"/>
      <c r="F38" s="212" t="inlineStr">
        <is>
          <t>m2</t>
        </is>
      </c>
      <c r="G38" s="43" t="n"/>
      <c r="H38" s="105">
        <f>VLOOKUP(D38,{"简单","1";"中等","1.5";"复杂","2"},2,0)</f>
        <v/>
      </c>
      <c r="I38" s="190" t="n">
        <v>1</v>
      </c>
      <c r="J38" s="213">
        <f>G38*I38*H38</f>
        <v/>
      </c>
      <c r="K38" s="212" t="n">
        <v>0.22</v>
      </c>
      <c r="L38" s="213">
        <f>J38*K38</f>
        <v/>
      </c>
      <c r="M38" s="199">
        <f>J38+L38</f>
        <v/>
      </c>
      <c r="N38" s="53" t="inlineStr">
        <is>
          <t>表7.2-1</t>
        </is>
      </c>
      <c r="O38" s="130" t="inlineStr">
        <is>
          <t>地下管线探测部分，（预估工作量）</t>
        </is>
      </c>
      <c r="P38" s="128" t="n"/>
      <c r="Q38" s="128" t="n"/>
      <c r="R38" s="128" t="n"/>
      <c r="S38" s="128" t="n"/>
      <c r="T38" s="128" t="n"/>
      <c r="U38" s="214" t="n"/>
      <c r="V38" s="128" t="n"/>
      <c r="W38" s="53" t="n"/>
      <c r="X38" s="53" t="n"/>
      <c r="Y38" s="53" t="n"/>
      <c r="Z38" s="53" t="n"/>
      <c r="AA38" s="53" t="n"/>
      <c r="AB38" s="215" t="n"/>
      <c r="AC38" s="53" t="n"/>
    </row>
    <row r="39" outlineLevel="1" s="186">
      <c r="A39" s="43" t="n">
        <v>42</v>
      </c>
      <c r="B39" s="197" t="n"/>
      <c r="C39" s="105" t="inlineStr">
        <is>
          <t>金属管线探查</t>
        </is>
      </c>
      <c r="D39" s="43" t="inlineStr">
        <is>
          <t>复杂</t>
        </is>
      </c>
      <c r="E39" s="45" t="inlineStr">
        <is>
          <t>/</t>
        </is>
      </c>
      <c r="F39" s="212" t="inlineStr">
        <is>
          <t>km</t>
        </is>
      </c>
      <c r="G39" s="43" t="n"/>
      <c r="H39" s="217">
        <f>VLOOKUP(D39,{"简单","2250";"中等","4500";"复杂","7200"},2,0)</f>
        <v/>
      </c>
      <c r="I39" s="53" t="n">
        <v>1</v>
      </c>
      <c r="J39" s="213">
        <f>G39*I39*H39</f>
        <v/>
      </c>
      <c r="K39" s="212" t="n">
        <v>0.22</v>
      </c>
      <c r="L39" s="213">
        <f>J39*K39</f>
        <v/>
      </c>
      <c r="M39" s="199">
        <f>J39+L39</f>
        <v/>
      </c>
      <c r="N39" s="53" t="inlineStr">
        <is>
          <t>表7.2-1</t>
        </is>
      </c>
      <c r="O39" s="130" t="inlineStr">
        <is>
          <t>地下管线探测部分，（预估工作量）</t>
        </is>
      </c>
      <c r="P39" s="128" t="n"/>
      <c r="Q39" s="128" t="n"/>
      <c r="R39" s="128" t="n"/>
      <c r="S39" s="128" t="n"/>
      <c r="T39" s="128" t="n"/>
      <c r="U39" s="214" t="n"/>
      <c r="V39" s="128" t="n"/>
      <c r="W39" s="53" t="n"/>
      <c r="X39" s="53" t="n"/>
      <c r="Y39" s="53" t="n"/>
      <c r="Z39" s="53" t="n"/>
      <c r="AA39" s="53" t="n"/>
      <c r="AB39" s="215" t="n"/>
      <c r="AC39" s="53" t="n"/>
    </row>
    <row r="40" s="186">
      <c r="A40" s="115" t="inlineStr">
        <is>
          <t>合    计</t>
        </is>
      </c>
      <c r="B40" s="209" t="n"/>
      <c r="C40" s="209" t="n"/>
      <c r="D40" s="209" t="n"/>
      <c r="E40" s="209" t="n"/>
      <c r="F40" s="209" t="n"/>
      <c r="G40" s="43" t="n"/>
      <c r="H40" s="43" t="n"/>
      <c r="I40" s="43" t="n"/>
      <c r="J40" s="218">
        <f>SUM(J5:J39)</f>
        <v/>
      </c>
      <c r="K40" s="219" t="n"/>
      <c r="L40" s="218">
        <f>SUM(L5:L39)</f>
        <v/>
      </c>
      <c r="M40" s="218">
        <f>SUM(M5:M39)</f>
        <v/>
      </c>
      <c r="N40" s="94" t="n"/>
      <c r="O40" s="130" t="n"/>
      <c r="P40" s="128" t="n"/>
      <c r="Q40" s="195" t="n"/>
      <c r="R40" s="195" t="n"/>
      <c r="S40" s="195" t="n"/>
      <c r="T40" s="196" t="n"/>
      <c r="U40" s="220" t="n"/>
      <c r="V40" s="128" t="n"/>
      <c r="W40" s="53" t="n"/>
      <c r="X40" s="195" t="n"/>
      <c r="Y40" s="195" t="n"/>
      <c r="Z40" s="195" t="n"/>
      <c r="AA40" s="196" t="n"/>
      <c r="AB40" s="221" t="n"/>
      <c r="AC40" s="53" t="n"/>
    </row>
    <row r="41" s="186">
      <c r="A41" s="117" t="inlineStr">
        <is>
          <t>2、XX站场(阀室)</t>
        </is>
      </c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</row>
    <row r="42" outlineLevel="1" ht="52" customHeight="1" s="186">
      <c r="A42" s="40" t="inlineStr">
        <is>
          <t>序号</t>
        </is>
      </c>
      <c r="B42" s="40" t="inlineStr">
        <is>
          <t>工作任务</t>
        </is>
      </c>
      <c r="C42" s="195" t="n"/>
      <c r="D42" s="195" t="n"/>
      <c r="E42" s="195" t="n"/>
      <c r="F42" s="196" t="n"/>
      <c r="G42" s="40" t="n"/>
      <c r="H42" s="195" t="n"/>
      <c r="I42" s="195" t="n"/>
      <c r="J42" s="196" t="n"/>
      <c r="K42" s="210" t="inlineStr">
        <is>
          <t>技术工作费（元）</t>
        </is>
      </c>
      <c r="L42" s="196" t="n"/>
      <c r="M42" s="210" t="inlineStr">
        <is>
          <t>金额合计（元）</t>
        </is>
      </c>
      <c r="N42" s="71" t="inlineStr">
        <is>
          <t>收费标准里对应条款</t>
        </is>
      </c>
      <c r="O42" s="71" t="inlineStr">
        <is>
          <t>系数及费用来源
说明</t>
        </is>
      </c>
      <c r="P42" s="74" t="n"/>
      <c r="Q42" s="74" t="n"/>
      <c r="R42" s="74" t="n"/>
      <c r="S42" s="74" t="n"/>
      <c r="T42" s="74" t="n"/>
      <c r="U42" s="74" t="n"/>
      <c r="V42" s="74" t="n"/>
      <c r="W42" s="84" t="n"/>
      <c r="X42" s="84" t="n"/>
      <c r="Y42" s="84" t="n"/>
      <c r="Z42" s="84" t="n"/>
      <c r="AA42" s="84" t="n"/>
      <c r="AB42" s="84" t="n"/>
      <c r="AC42" s="84" t="n"/>
    </row>
    <row r="43" outlineLevel="1" ht="38" customHeight="1" s="186">
      <c r="A43" s="197" t="n"/>
      <c r="B43" s="40" t="inlineStr">
        <is>
          <t>项目</t>
        </is>
      </c>
      <c r="C43" s="40" t="inlineStr">
        <is>
          <t>内容</t>
        </is>
      </c>
      <c r="D43" s="40" t="inlineStr">
        <is>
          <t>类别</t>
        </is>
      </c>
      <c r="E43" s="42" t="inlineStr">
        <is>
          <t>比例尺</t>
        </is>
      </c>
      <c r="F43" s="40" t="inlineStr">
        <is>
          <t>单位</t>
        </is>
      </c>
      <c r="G43" s="40" t="n"/>
      <c r="H43" s="211" t="inlineStr">
        <is>
          <t>基价（元）</t>
        </is>
      </c>
      <c r="I43" s="40" t="inlineStr">
        <is>
          <t>调整系数</t>
        </is>
      </c>
      <c r="J43" s="210" t="inlineStr">
        <is>
          <t>小计</t>
        </is>
      </c>
      <c r="K43" s="40" t="inlineStr">
        <is>
          <t>调整系数</t>
        </is>
      </c>
      <c r="L43" s="40" t="inlineStr">
        <is>
          <t>小计</t>
        </is>
      </c>
      <c r="M43" s="197" t="n"/>
      <c r="N43" s="197" t="n"/>
      <c r="O43" s="197" t="n"/>
      <c r="P43" s="197" t="n"/>
      <c r="Q43" s="197" t="n"/>
      <c r="R43" s="197" t="n"/>
      <c r="S43" s="197" t="n"/>
      <c r="T43" s="197" t="n"/>
      <c r="U43" s="197" t="n"/>
      <c r="V43" s="197" t="n"/>
      <c r="W43" s="197" t="n"/>
      <c r="X43" s="197" t="n"/>
      <c r="Y43" s="197" t="n"/>
      <c r="Z43" s="197" t="n"/>
      <c r="AA43" s="197" t="n"/>
      <c r="AB43" s="197" t="n"/>
      <c r="AC43" s="197" t="n"/>
    </row>
    <row r="44" outlineLevel="1" s="186">
      <c r="A44" s="43" t="n">
        <v>1</v>
      </c>
      <c r="B44" s="43" t="inlineStr">
        <is>
          <t>控制测量</t>
        </is>
      </c>
      <c r="C44" s="43" t="inlineStr">
        <is>
          <t>首级控制测量</t>
        </is>
      </c>
      <c r="D44" s="43" t="inlineStr">
        <is>
          <t>GPS测量D级</t>
        </is>
      </c>
      <c r="E44" s="43" t="inlineStr">
        <is>
          <t>复杂</t>
        </is>
      </c>
      <c r="F44" s="212" t="inlineStr">
        <is>
          <t>个</t>
        </is>
      </c>
      <c r="G44" s="43" t="n"/>
      <c r="H44" s="43">
        <f>IF(D44="GPS测量E级",VLOOKUP(E44,{"简单","2821";"中等","3203";"复杂","4123"},2,0))+IF(D44="GPS测量D级",VLOOKUP(E44,{"简单","3198";"中等","3632";"复杂","4671"},2,0))+IF(D44="GPS测量C级",VLOOKUP(E44,{"简单","3727";"中等","4274";"复杂","5500"},2,0))</f>
        <v/>
      </c>
      <c r="I44" s="43" t="n">
        <v>0.6</v>
      </c>
      <c r="J44" s="213">
        <f>G44*I44*H44</f>
        <v/>
      </c>
      <c r="K44" s="212" t="n">
        <v>0.22</v>
      </c>
      <c r="L44" s="213">
        <f>J44*K44</f>
        <v/>
      </c>
      <c r="M44" s="199">
        <f>J44+L44</f>
        <v/>
      </c>
      <c r="N44" s="87" t="inlineStr">
        <is>
          <t xml:space="preserve">
表2.2-2</t>
        </is>
      </c>
      <c r="O44" s="126" t="n"/>
      <c r="P44" s="127" t="n"/>
      <c r="Q44" s="128" t="n"/>
      <c r="R44" s="128" t="n"/>
      <c r="S44" s="128" t="n"/>
      <c r="T44" s="128" t="n"/>
      <c r="U44" s="214" t="n"/>
      <c r="V44" s="128" t="n"/>
      <c r="W44" s="53" t="n"/>
      <c r="X44" s="53" t="n"/>
      <c r="Y44" s="53" t="n"/>
      <c r="Z44" s="53" t="n"/>
      <c r="AA44" s="53" t="n"/>
      <c r="AB44" s="215" t="n"/>
      <c r="AC44" s="53" t="n"/>
    </row>
    <row r="45" outlineLevel="1" s="186">
      <c r="A45" s="43" t="n">
        <v>2</v>
      </c>
      <c r="B45" s="204" t="n"/>
      <c r="C45" s="43" t="inlineStr">
        <is>
          <t>首级控制测量</t>
        </is>
      </c>
      <c r="D45" s="43" t="inlineStr">
        <is>
          <t>GPS测量D级</t>
        </is>
      </c>
      <c r="E45" s="43" t="inlineStr">
        <is>
          <t>中等</t>
        </is>
      </c>
      <c r="F45" s="212" t="inlineStr">
        <is>
          <t>个</t>
        </is>
      </c>
      <c r="G45" s="43" t="n"/>
      <c r="H45" s="43">
        <f>IF(D45="GPS测量E级",VLOOKUP(E45,{"简单","2821";"中等","3203";"复杂","4123"},2,0))+IF(D45="GPS测量D级",VLOOKUP(E45,{"简单","3198";"中等","3632";"复杂","4671"},2,0))+IF(D45="GPS测量C级",VLOOKUP(E45,{"简单","3727";"中等","4274";"复杂","5500"},2,0))</f>
        <v/>
      </c>
      <c r="I45" s="43" t="n">
        <v>0.6</v>
      </c>
      <c r="J45" s="213">
        <f>G45*I45*H45</f>
        <v/>
      </c>
      <c r="K45" s="212" t="n">
        <v>0.22</v>
      </c>
      <c r="L45" s="213">
        <f>J45*K45</f>
        <v/>
      </c>
      <c r="M45" s="199">
        <f>J45+L45</f>
        <v/>
      </c>
      <c r="N45" s="204" t="n"/>
      <c r="O45" s="126" t="n"/>
      <c r="P45" s="127" t="n"/>
      <c r="Q45" s="128" t="n"/>
      <c r="R45" s="128" t="n"/>
      <c r="S45" s="128" t="n"/>
      <c r="T45" s="128" t="n"/>
      <c r="U45" s="214" t="n"/>
      <c r="V45" s="128" t="n"/>
      <c r="W45" s="53" t="n"/>
      <c r="X45" s="53" t="n"/>
      <c r="Y45" s="53" t="n"/>
      <c r="Z45" s="53" t="n"/>
      <c r="AA45" s="53" t="n"/>
      <c r="AB45" s="215" t="n"/>
      <c r="AC45" s="53" t="n"/>
    </row>
    <row r="46" outlineLevel="1" s="186">
      <c r="A46" s="43" t="n">
        <v>3</v>
      </c>
      <c r="B46" s="204" t="n"/>
      <c r="C46" s="53" t="inlineStr">
        <is>
          <t>河流静态</t>
        </is>
      </c>
      <c r="D46" s="43" t="inlineStr">
        <is>
          <t>GPS测量E级</t>
        </is>
      </c>
      <c r="E46" s="43" t="inlineStr">
        <is>
          <t>中等</t>
        </is>
      </c>
      <c r="F46" s="212" t="inlineStr">
        <is>
          <t>点</t>
        </is>
      </c>
      <c r="G46" s="43" t="n"/>
      <c r="H46" s="43">
        <f>IF(D46="GPS测量E级",VLOOKUP(E46,{"简单","2821";"中等","3203";"复杂","4123"},2,0))+IF(D46="GPS测量D级",VLOOKUP(E46,{"简单","3198";"中等","3632";"复杂","4671"},2,0))+IF(D46="GPS测量C级",VLOOKUP(E46,{"简单","3727";"中等","4274";"复杂","5500"},2,0))</f>
        <v/>
      </c>
      <c r="I46" s="43" t="n">
        <v>0.6</v>
      </c>
      <c r="J46" s="213">
        <f>G46*I46*H46</f>
        <v/>
      </c>
      <c r="K46" s="212" t="n">
        <v>0.22</v>
      </c>
      <c r="L46" s="213">
        <f>J46*K46</f>
        <v/>
      </c>
      <c r="M46" s="199">
        <f>J46+L46</f>
        <v/>
      </c>
      <c r="N46" s="204" t="n"/>
      <c r="O46" s="126" t="n"/>
      <c r="P46" s="127" t="n"/>
      <c r="Q46" s="128" t="n"/>
      <c r="R46" s="128" t="n"/>
      <c r="S46" s="128" t="n"/>
      <c r="T46" s="128" t="n"/>
      <c r="U46" s="214" t="n"/>
      <c r="V46" s="128" t="n"/>
      <c r="W46" s="53" t="n"/>
      <c r="X46" s="53" t="n"/>
      <c r="Y46" s="53" t="n"/>
      <c r="Z46" s="53" t="n"/>
      <c r="AA46" s="53" t="n"/>
      <c r="AB46" s="215" t="n"/>
      <c r="AC46" s="53" t="n"/>
    </row>
    <row r="47" outlineLevel="1" s="186">
      <c r="A47" s="43" t="n">
        <v>4</v>
      </c>
      <c r="B47" s="204" t="n"/>
      <c r="C47" s="53" t="inlineStr">
        <is>
          <t>连片鱼塘静态</t>
        </is>
      </c>
      <c r="D47" s="43" t="inlineStr">
        <is>
          <t>GPS测量E级</t>
        </is>
      </c>
      <c r="E47" s="43" t="inlineStr">
        <is>
          <t>复杂</t>
        </is>
      </c>
      <c r="F47" s="212" t="inlineStr">
        <is>
          <t>点</t>
        </is>
      </c>
      <c r="G47" s="43" t="n"/>
      <c r="H47" s="43">
        <f>IF(D47="GPS测量E级",VLOOKUP(E47,{"简单","2821";"中等","3203";"复杂","4123"},2,0))+IF(D47="GPS测量D级",VLOOKUP(E47,{"简单","3198";"中等","3632";"复杂","4671"},2,0))+IF(D47="GPS测量C级",VLOOKUP(E47,{"简单","3727";"中等","4274";"复杂","5500"},2,0))</f>
        <v/>
      </c>
      <c r="I47" s="43" t="n">
        <v>0.6</v>
      </c>
      <c r="J47" s="213">
        <f>G47*I47*H47</f>
        <v/>
      </c>
      <c r="K47" s="212" t="n">
        <v>0.22</v>
      </c>
      <c r="L47" s="213">
        <f>J47*K47</f>
        <v/>
      </c>
      <c r="M47" s="199">
        <f>J47+L47</f>
        <v/>
      </c>
      <c r="N47" s="204" t="n"/>
      <c r="O47" s="126" t="n"/>
      <c r="P47" s="128" t="n"/>
      <c r="Q47" s="128" t="n"/>
      <c r="R47" s="128" t="n"/>
      <c r="S47" s="128" t="n"/>
      <c r="T47" s="128" t="n"/>
      <c r="U47" s="214" t="n"/>
      <c r="V47" s="128" t="n"/>
      <c r="W47" s="53" t="n"/>
      <c r="X47" s="53" t="n"/>
      <c r="Y47" s="53" t="n"/>
      <c r="Z47" s="53" t="n"/>
      <c r="AA47" s="53" t="n"/>
      <c r="AB47" s="215" t="n"/>
      <c r="AC47" s="53" t="n"/>
    </row>
    <row r="48" outlineLevel="1" s="186">
      <c r="A48" s="43" t="n">
        <v>5</v>
      </c>
      <c r="B48" s="204" t="n"/>
      <c r="C48" s="43" t="inlineStr">
        <is>
          <t>山岭隧道静态</t>
        </is>
      </c>
      <c r="D48" s="43" t="inlineStr">
        <is>
          <t>GPS测量E级</t>
        </is>
      </c>
      <c r="E48" s="43" t="inlineStr">
        <is>
          <t>复杂</t>
        </is>
      </c>
      <c r="F48" s="212" t="inlineStr">
        <is>
          <t>点</t>
        </is>
      </c>
      <c r="G48" s="43" t="n"/>
      <c r="H48" s="43">
        <f>IF(D48="GPS测量E级",VLOOKUP(E48,{"简单","2821";"中等","3203";"复杂","4123"},2,0))+IF(D48="GPS测量D级",VLOOKUP(E48,{"简单","3198";"中等","3632";"复杂","4671"},2,0))+IF(D48="GPS测量C级",VLOOKUP(E48,{"简单","3727";"中等","4274";"复杂","5500"},2,0))</f>
        <v/>
      </c>
      <c r="I48" s="43" t="n">
        <v>1</v>
      </c>
      <c r="J48" s="213">
        <f>G48*I48*H48</f>
        <v/>
      </c>
      <c r="K48" s="212" t="n">
        <v>0.22</v>
      </c>
      <c r="L48" s="213">
        <f>J48*K48</f>
        <v/>
      </c>
      <c r="M48" s="199">
        <f>J48+L48</f>
        <v/>
      </c>
      <c r="N48" s="204" t="n"/>
      <c r="O48" s="126" t="n"/>
      <c r="P48" s="128" t="n"/>
      <c r="Q48" s="128" t="n"/>
      <c r="R48" s="128" t="n"/>
      <c r="S48" s="128" t="n"/>
      <c r="T48" s="128" t="n"/>
      <c r="U48" s="214" t="n"/>
      <c r="V48" s="128" t="n"/>
      <c r="W48" s="53" t="n"/>
      <c r="X48" s="53" t="n"/>
      <c r="Y48" s="53" t="n"/>
      <c r="Z48" s="53" t="n"/>
      <c r="AA48" s="53" t="n"/>
      <c r="AB48" s="215" t="n"/>
      <c r="AC48" s="53" t="n"/>
    </row>
    <row r="49" outlineLevel="1" s="186">
      <c r="A49" s="43" t="n">
        <v>6</v>
      </c>
      <c r="B49" s="204" t="n"/>
      <c r="C49" s="43" t="inlineStr">
        <is>
          <t>山体定向钻静态</t>
        </is>
      </c>
      <c r="D49" s="43" t="inlineStr">
        <is>
          <t>GPS测量E级</t>
        </is>
      </c>
      <c r="E49" s="43" t="inlineStr">
        <is>
          <t>复杂</t>
        </is>
      </c>
      <c r="F49" s="212" t="inlineStr">
        <is>
          <t>点</t>
        </is>
      </c>
      <c r="G49" s="43" t="n"/>
      <c r="H49" s="43">
        <f>IF(D49="GPS测量E级",VLOOKUP(E49,{"简单","2821";"中等","3203";"复杂","4123"},2,0))+IF(D49="GPS测量D级",VLOOKUP(E49,{"简单","3198";"中等","3632";"复杂","4671"},2,0))+IF(D49="GPS测量C级",VLOOKUP(E49,{"简单","3727";"中等","4274";"复杂","5500"},2,0))</f>
        <v/>
      </c>
      <c r="I49" s="43" t="n">
        <v>0.6</v>
      </c>
      <c r="J49" s="213">
        <f>G49*I49*H49</f>
        <v/>
      </c>
      <c r="K49" s="212" t="n">
        <v>0.22</v>
      </c>
      <c r="L49" s="213">
        <f>J49*K49</f>
        <v/>
      </c>
      <c r="M49" s="199">
        <f>J49+L49</f>
        <v/>
      </c>
      <c r="N49" s="204" t="n"/>
      <c r="O49" s="126" t="n"/>
      <c r="P49" s="128" t="n"/>
      <c r="Q49" s="128" t="n"/>
      <c r="R49" s="128" t="n"/>
      <c r="S49" s="128" t="n"/>
      <c r="T49" s="128" t="n"/>
      <c r="U49" s="214" t="n"/>
      <c r="V49" s="128" t="n"/>
      <c r="W49" s="53" t="n"/>
      <c r="X49" s="53" t="n"/>
      <c r="Y49" s="53" t="n"/>
      <c r="Z49" s="53" t="n"/>
      <c r="AA49" s="53" t="n"/>
      <c r="AB49" s="215" t="n"/>
      <c r="AC49" s="53" t="n"/>
    </row>
    <row r="50" outlineLevel="1" s="186">
      <c r="A50" s="43" t="n">
        <v>7</v>
      </c>
      <c r="B50" s="204" t="n"/>
      <c r="C50" s="43" t="inlineStr">
        <is>
          <t>站场静态</t>
        </is>
      </c>
      <c r="D50" s="43" t="inlineStr">
        <is>
          <t>GPS测量E级</t>
        </is>
      </c>
      <c r="E50" s="43" t="inlineStr">
        <is>
          <t>中等</t>
        </is>
      </c>
      <c r="F50" s="212" t="inlineStr">
        <is>
          <t>点</t>
        </is>
      </c>
      <c r="G50" s="43" t="n"/>
      <c r="H50" s="43">
        <f>IF(D50="GPS测量E级",VLOOKUP(E50,{"简单","2821";"中等","3203";"复杂","4123"},2,0))+IF(D50="GPS测量D级",VLOOKUP(E50,{"简单","3198";"中等","3632";"复杂","4671"},2,0))+IF(D50="GPS测量C级",VLOOKUP(E50,{"简单","3727";"中等","4274";"复杂","5500"},2,0))</f>
        <v/>
      </c>
      <c r="I50" s="43" t="n">
        <v>1</v>
      </c>
      <c r="J50" s="213">
        <f>G50*I50*H50</f>
        <v/>
      </c>
      <c r="K50" s="212" t="n">
        <v>0.22</v>
      </c>
      <c r="L50" s="213">
        <f>J50*K50</f>
        <v/>
      </c>
      <c r="M50" s="199">
        <f>J50+L50</f>
        <v/>
      </c>
      <c r="N50" s="204" t="n"/>
      <c r="O50" s="126" t="n"/>
      <c r="P50" s="128" t="n"/>
      <c r="Q50" s="128" t="n"/>
      <c r="R50" s="128" t="n"/>
      <c r="S50" s="128" t="n"/>
      <c r="T50" s="128" t="n"/>
      <c r="U50" s="214" t="n"/>
      <c r="V50" s="128" t="n"/>
      <c r="W50" s="53" t="n"/>
      <c r="X50" s="53" t="n"/>
      <c r="Y50" s="53" t="n"/>
      <c r="Z50" s="53" t="n"/>
      <c r="AA50" s="53" t="n"/>
      <c r="AB50" s="215" t="n"/>
      <c r="AC50" s="53" t="n"/>
    </row>
    <row r="51" outlineLevel="1" s="186">
      <c r="A51" s="43" t="n">
        <v>8</v>
      </c>
      <c r="B51" s="204" t="n"/>
      <c r="C51" s="43" t="inlineStr">
        <is>
          <t>阀室RTK</t>
        </is>
      </c>
      <c r="D51" s="43" t="inlineStr">
        <is>
          <t>GPS测量E级</t>
        </is>
      </c>
      <c r="E51" s="43" t="inlineStr">
        <is>
          <t>简单</t>
        </is>
      </c>
      <c r="F51" s="212" t="inlineStr">
        <is>
          <t>点</t>
        </is>
      </c>
      <c r="G51" s="43" t="n"/>
      <c r="H51" s="43">
        <f>IF(D51="GPS测量E级",VLOOKUP(E51,{"简单","2821";"中等","3203";"复杂","4123"},2,0))+IF(D51="GPS测量D级",VLOOKUP(E51,{"简单","3198";"中等","3632";"复杂","4671"},2,0))+IF(D51="GPS测量C级",VLOOKUP(E51,{"简单","3727";"中等","4274";"复杂","5500"},2,0))+IF(D51="三角（边）一级",VLOOKUP(E51,{"简单","1096";"中等","1244";"复杂","1602"},2,0))</f>
        <v/>
      </c>
      <c r="I51" s="43" t="n">
        <v>0.6</v>
      </c>
      <c r="J51" s="213">
        <f>G51*I51*H51</f>
        <v/>
      </c>
      <c r="K51" s="212" t="n">
        <v>0.22</v>
      </c>
      <c r="L51" s="213">
        <f>J51*K51</f>
        <v/>
      </c>
      <c r="M51" s="199">
        <f>J51+L51</f>
        <v/>
      </c>
      <c r="N51" s="204" t="n"/>
      <c r="O51" s="126" t="n"/>
      <c r="P51" s="128" t="n"/>
      <c r="Q51" s="128" t="n"/>
      <c r="R51" s="128" t="n"/>
      <c r="S51" s="128" t="n"/>
      <c r="T51" s="128" t="n"/>
      <c r="U51" s="214" t="n"/>
      <c r="V51" s="128" t="n"/>
      <c r="W51" s="53" t="n"/>
      <c r="X51" s="53" t="n"/>
      <c r="Y51" s="53" t="n"/>
      <c r="Z51" s="53" t="n"/>
      <c r="AA51" s="53" t="n"/>
      <c r="AB51" s="215" t="n"/>
      <c r="AC51" s="53" t="n"/>
    </row>
    <row r="52" outlineLevel="1" s="186">
      <c r="A52" s="43" t="n">
        <v>9</v>
      </c>
      <c r="B52" s="204" t="n"/>
      <c r="C52" s="43" t="inlineStr">
        <is>
          <t>渣场RTK</t>
        </is>
      </c>
      <c r="D52" s="43" t="inlineStr">
        <is>
          <t>GPS测量E级</t>
        </is>
      </c>
      <c r="E52" s="43" t="inlineStr">
        <is>
          <t>复杂</t>
        </is>
      </c>
      <c r="F52" s="212" t="inlineStr">
        <is>
          <t>点</t>
        </is>
      </c>
      <c r="G52" s="43" t="n"/>
      <c r="H52" s="43">
        <f>IF(D52="GPS测量E级",VLOOKUP(E52,{"简单","2821";"中等","3203";"复杂","4123"},2,0))+IF(D52="GPS测量D级",VLOOKUP(E52,{"简单","3198";"中等","3632";"复杂","4671"},2,0))+IF(D52="GPS测量C级",VLOOKUP(E52,{"简单","3727";"中等","4274";"复杂","5500"},2,0))</f>
        <v/>
      </c>
      <c r="I52" s="43" t="n">
        <v>0.6</v>
      </c>
      <c r="J52" s="213">
        <f>G52*I52*H52</f>
        <v/>
      </c>
      <c r="K52" s="212" t="n">
        <v>0.22</v>
      </c>
      <c r="L52" s="213">
        <f>J52*K52</f>
        <v/>
      </c>
      <c r="M52" s="199">
        <f>J52+L52</f>
        <v/>
      </c>
      <c r="N52" s="204" t="n"/>
      <c r="O52" s="126" t="n"/>
      <c r="P52" s="128" t="n"/>
      <c r="Q52" s="128" t="n"/>
      <c r="R52" s="128" t="n"/>
      <c r="S52" s="128" t="n"/>
      <c r="T52" s="128" t="n"/>
      <c r="U52" s="214" t="n"/>
      <c r="V52" s="128" t="n"/>
      <c r="W52" s="53" t="n"/>
      <c r="X52" s="53" t="n"/>
      <c r="Y52" s="53" t="n"/>
      <c r="Z52" s="53" t="n"/>
      <c r="AA52" s="53" t="n"/>
      <c r="AB52" s="215" t="n"/>
      <c r="AC52" s="53" t="n"/>
    </row>
    <row r="53" outlineLevel="1" s="186">
      <c r="A53" s="43" t="n">
        <v>10</v>
      </c>
      <c r="B53" s="204" t="n"/>
      <c r="C53" s="43" t="inlineStr">
        <is>
          <t>公路、铁路RTK</t>
        </is>
      </c>
      <c r="D53" s="43" t="inlineStr">
        <is>
          <t>GPS测量E级</t>
        </is>
      </c>
      <c r="E53" s="43" t="inlineStr">
        <is>
          <t>复杂</t>
        </is>
      </c>
      <c r="F53" s="212" t="inlineStr">
        <is>
          <t>点</t>
        </is>
      </c>
      <c r="G53" s="43" t="n"/>
      <c r="H53" s="43">
        <f>IF(D53="GPS测量E级",VLOOKUP(E53,{"简单","2821";"中等","3203";"复杂","4123"},2,0))+IF(D53="GPS测量D级",VLOOKUP(E53,{"简单","3198";"中等","3632";"复杂","4671"},2,0))+IF(D53="GPS测量C级",VLOOKUP(E53,{"简单","3727";"中等","4274";"复杂","5500"},2,0))</f>
        <v/>
      </c>
      <c r="I53" s="43" t="n">
        <v>0.6</v>
      </c>
      <c r="J53" s="213">
        <f>G53*I53*H53</f>
        <v/>
      </c>
      <c r="K53" s="212" t="n">
        <v>0.22</v>
      </c>
      <c r="L53" s="213">
        <f>J53*K53</f>
        <v/>
      </c>
      <c r="M53" s="199">
        <f>J53+L53</f>
        <v/>
      </c>
      <c r="N53" s="204" t="n"/>
      <c r="O53" s="126" t="n"/>
      <c r="P53" s="128" t="n"/>
      <c r="Q53" s="128" t="n"/>
      <c r="R53" s="128" t="n"/>
      <c r="S53" s="128" t="n"/>
      <c r="T53" s="128" t="n"/>
      <c r="U53" s="214" t="n"/>
      <c r="V53" s="128" t="n"/>
      <c r="W53" s="53" t="n"/>
      <c r="X53" s="53" t="n"/>
      <c r="Y53" s="53" t="n"/>
      <c r="Z53" s="53" t="n"/>
      <c r="AA53" s="53" t="n"/>
      <c r="AB53" s="215" t="n"/>
      <c r="AC53" s="53" t="n"/>
    </row>
    <row r="54" outlineLevel="1" s="186">
      <c r="A54" s="43" t="n">
        <v>11</v>
      </c>
      <c r="B54" s="197" t="n"/>
      <c r="C54" s="43" t="inlineStr">
        <is>
          <t>小型穿越RTK</t>
        </is>
      </c>
      <c r="D54" s="43" t="inlineStr">
        <is>
          <t>GPS测量E级</t>
        </is>
      </c>
      <c r="E54" s="43" t="inlineStr">
        <is>
          <t>复杂</t>
        </is>
      </c>
      <c r="F54" s="212" t="inlineStr">
        <is>
          <t>点</t>
        </is>
      </c>
      <c r="G54" s="43" t="n"/>
      <c r="H54" s="43">
        <f>IF(D54="GPS测量E级",VLOOKUP(E54,{"简单","2821";"中等","3203";"复杂","4123"},2,0))+IF(D54="GPS测量D级",VLOOKUP(E54,{"简单","3198";"中等","3632";"复杂","4671"},2,0))+IF(D54="GPS测量C级",VLOOKUP(E54,{"简单","3727";"中等","4274";"复杂","5500"},2,0))</f>
        <v/>
      </c>
      <c r="I54" s="43" t="n">
        <v>0.6</v>
      </c>
      <c r="J54" s="213">
        <f>G54*I54*H54</f>
        <v/>
      </c>
      <c r="K54" s="212" t="n">
        <v>0.22</v>
      </c>
      <c r="L54" s="213">
        <f>J54*K54</f>
        <v/>
      </c>
      <c r="M54" s="199">
        <f>J54+L54</f>
        <v/>
      </c>
      <c r="N54" s="197" t="n"/>
      <c r="O54" s="126" t="n"/>
      <c r="P54" s="128" t="n"/>
      <c r="Q54" s="128" t="n"/>
      <c r="R54" s="128" t="n"/>
      <c r="S54" s="128" t="n"/>
      <c r="T54" s="128" t="n"/>
      <c r="U54" s="214" t="n"/>
      <c r="V54" s="128" t="n"/>
      <c r="W54" s="53" t="n"/>
      <c r="X54" s="53" t="n"/>
      <c r="Y54" s="53" t="n"/>
      <c r="Z54" s="53" t="n"/>
      <c r="AA54" s="53" t="n"/>
      <c r="AB54" s="215" t="n"/>
      <c r="AC54" s="53" t="n"/>
    </row>
    <row r="55" outlineLevel="1" s="186">
      <c r="A55" s="43" t="n">
        <v>19</v>
      </c>
      <c r="B55" s="43" t="inlineStr">
        <is>
          <t>地形图测绘
（地形测量）</t>
        </is>
      </c>
      <c r="C55" s="43" t="inlineStr">
        <is>
          <t>山岭隧道（洞身）</t>
        </is>
      </c>
      <c r="D55" s="43" t="inlineStr">
        <is>
          <t>中等</t>
        </is>
      </c>
      <c r="E55" s="45" t="inlineStr">
        <is>
          <t>1:2000</t>
        </is>
      </c>
      <c r="F55" s="212" t="inlineStr">
        <is>
          <t>km2</t>
        </is>
      </c>
      <c r="G55" s="216" t="n"/>
      <c r="H55" s="43">
        <f>VLOOKUP(D55,{"简单","6676";"中等","8901";"复杂","14244"},2,0)</f>
        <v/>
      </c>
      <c r="I55" s="43" t="n">
        <v>1.8</v>
      </c>
      <c r="J55" s="213">
        <f>G55*I55*H55</f>
        <v/>
      </c>
      <c r="K55" s="212" t="n">
        <v>0.22</v>
      </c>
      <c r="L55" s="213">
        <f>J55*K55</f>
        <v/>
      </c>
      <c r="M55" s="199">
        <f>J55+L55</f>
        <v/>
      </c>
      <c r="N55" s="87" t="inlineStr">
        <is>
          <t xml:space="preserve">
表2.2-2</t>
        </is>
      </c>
      <c r="O55" s="126" t="n"/>
      <c r="P55" s="128" t="n"/>
      <c r="Q55" s="128" t="n"/>
      <c r="R55" s="128" t="n"/>
      <c r="S55" s="128" t="n"/>
      <c r="T55" s="128" t="n"/>
      <c r="U55" s="214" t="n"/>
      <c r="V55" s="128" t="n"/>
      <c r="W55" s="53" t="n"/>
      <c r="X55" s="53" t="n"/>
      <c r="Y55" s="53" t="n"/>
      <c r="Z55" s="53" t="n"/>
      <c r="AA55" s="53" t="n"/>
      <c r="AB55" s="215" t="n"/>
      <c r="AC55" s="53" t="n"/>
    </row>
    <row r="56" outlineLevel="1" s="186">
      <c r="A56" s="43" t="n">
        <v>20</v>
      </c>
      <c r="B56" s="204" t="n"/>
      <c r="C56" s="43" t="inlineStr">
        <is>
          <t>山岭隧道（洞身）</t>
        </is>
      </c>
      <c r="D56" s="43" t="inlineStr">
        <is>
          <t>复杂</t>
        </is>
      </c>
      <c r="E56" s="45" t="inlineStr">
        <is>
          <t>1:2000</t>
        </is>
      </c>
      <c r="F56" s="212" t="inlineStr">
        <is>
          <t>km2</t>
        </is>
      </c>
      <c r="G56" s="216" t="n"/>
      <c r="H56" s="43">
        <f>VLOOKUP(D56,{"简单","6676";"中等","8901";"复杂","14244"},2,0)</f>
        <v/>
      </c>
      <c r="I56" s="43" t="n">
        <v>1.5</v>
      </c>
      <c r="J56" s="213">
        <f>G56*I56*H56</f>
        <v/>
      </c>
      <c r="K56" s="212" t="n">
        <v>0.22</v>
      </c>
      <c r="L56" s="213">
        <f>J56*K56</f>
        <v/>
      </c>
      <c r="M56" s="199">
        <f>J56+L56</f>
        <v/>
      </c>
      <c r="N56" s="204" t="n"/>
      <c r="O56" s="126" t="n"/>
      <c r="P56" s="128" t="n"/>
      <c r="Q56" s="128" t="n"/>
      <c r="R56" s="128" t="n"/>
      <c r="S56" s="128" t="n"/>
      <c r="T56" s="128" t="n"/>
      <c r="U56" s="214" t="n"/>
      <c r="V56" s="128" t="n"/>
      <c r="W56" s="53" t="n"/>
      <c r="X56" s="53" t="n"/>
      <c r="Y56" s="53" t="n"/>
      <c r="Z56" s="53" t="n"/>
      <c r="AA56" s="53" t="n"/>
      <c r="AB56" s="215" t="n"/>
      <c r="AC56" s="53" t="n"/>
    </row>
    <row r="57" outlineLevel="1" s="186">
      <c r="A57" s="43" t="n">
        <v>21</v>
      </c>
      <c r="B57" s="204" t="n"/>
      <c r="C57" s="43" t="inlineStr">
        <is>
          <t>山岭隧道（洞口、渣场）</t>
        </is>
      </c>
      <c r="D57" s="43" t="inlineStr">
        <is>
          <t>中等</t>
        </is>
      </c>
      <c r="E57" s="45" t="inlineStr">
        <is>
          <t>1:500</t>
        </is>
      </c>
      <c r="F57" s="212" t="inlineStr">
        <is>
          <t>km2</t>
        </is>
      </c>
      <c r="G57" s="216" t="n"/>
      <c r="H57" s="43">
        <f>VLOOKUP(D57,{"简单","33383";"中等","44510";"复杂","71216"},2,0)</f>
        <v/>
      </c>
      <c r="I57" s="43" t="n">
        <v>1.8</v>
      </c>
      <c r="J57" s="213">
        <f>G57*I57*H57</f>
        <v/>
      </c>
      <c r="K57" s="212" t="n">
        <v>0.22</v>
      </c>
      <c r="L57" s="213">
        <f>J57*K57</f>
        <v/>
      </c>
      <c r="M57" s="199">
        <f>J57+L57</f>
        <v/>
      </c>
      <c r="N57" s="204" t="n"/>
      <c r="O57" s="126" t="n"/>
      <c r="P57" s="128" t="n"/>
      <c r="Q57" s="128" t="n"/>
      <c r="R57" s="128" t="n"/>
      <c r="S57" s="128" t="n"/>
      <c r="T57" s="128" t="n"/>
      <c r="U57" s="214" t="n"/>
      <c r="V57" s="128" t="n"/>
      <c r="W57" s="53" t="n"/>
      <c r="X57" s="53" t="n"/>
      <c r="Y57" s="53" t="n"/>
      <c r="Z57" s="53" t="n"/>
      <c r="AA57" s="53" t="n"/>
      <c r="AB57" s="215" t="n"/>
      <c r="AC57" s="53" t="n"/>
    </row>
    <row r="58" outlineLevel="1" s="186">
      <c r="A58" s="43" t="n">
        <v>22</v>
      </c>
      <c r="B58" s="204" t="n"/>
      <c r="C58" s="43" t="inlineStr">
        <is>
          <t>山岭隧道（洞口、渣场）</t>
        </is>
      </c>
      <c r="D58" s="43" t="inlineStr">
        <is>
          <t>复杂</t>
        </is>
      </c>
      <c r="E58" s="45" t="inlineStr">
        <is>
          <t>1:500</t>
        </is>
      </c>
      <c r="F58" s="212" t="inlineStr">
        <is>
          <t>km2</t>
        </is>
      </c>
      <c r="G58" s="216" t="n"/>
      <c r="H58" s="43">
        <f>VLOOKUP(D58,{"简单","33383";"中等","44510";"复杂","71216"},2,0)</f>
        <v/>
      </c>
      <c r="I58" s="43" t="n">
        <v>1.5</v>
      </c>
      <c r="J58" s="213">
        <f>G58*I58*H58</f>
        <v/>
      </c>
      <c r="K58" s="212" t="n">
        <v>0.22</v>
      </c>
      <c r="L58" s="213">
        <f>J58*K58</f>
        <v/>
      </c>
      <c r="M58" s="199">
        <f>J58+L58</f>
        <v/>
      </c>
      <c r="N58" s="204" t="n"/>
      <c r="O58" s="126" t="n"/>
      <c r="P58" s="128" t="n"/>
      <c r="Q58" s="128" t="n"/>
      <c r="R58" s="128" t="n"/>
      <c r="S58" s="128" t="n"/>
      <c r="T58" s="128" t="n"/>
      <c r="U58" s="214" t="n"/>
      <c r="V58" s="128" t="n"/>
      <c r="W58" s="53" t="n"/>
      <c r="X58" s="53" t="n"/>
      <c r="Y58" s="53" t="n"/>
      <c r="Z58" s="53" t="n"/>
      <c r="AA58" s="53" t="n"/>
      <c r="AB58" s="215" t="n"/>
      <c r="AC58" s="53" t="n"/>
    </row>
    <row r="59" outlineLevel="1" s="186">
      <c r="A59" s="43" t="n">
        <v>23</v>
      </c>
      <c r="B59" s="204" t="n"/>
      <c r="C59" s="43" t="inlineStr">
        <is>
          <t>河流大中型穿越（陆地）</t>
        </is>
      </c>
      <c r="D59" s="43" t="inlineStr">
        <is>
          <t>中等</t>
        </is>
      </c>
      <c r="E59" s="45" t="inlineStr">
        <is>
          <t>1:1000</t>
        </is>
      </c>
      <c r="F59" s="212" t="inlineStr">
        <is>
          <t>km2</t>
        </is>
      </c>
      <c r="G59" s="216" t="n"/>
      <c r="H59" s="43">
        <f>VLOOKUP(D59,{"简单","15174";"中等","20232";"复杂","32374"},2,0)</f>
        <v/>
      </c>
      <c r="I59" s="43" t="n">
        <v>1.5</v>
      </c>
      <c r="J59" s="213">
        <f>G59*I59*H59</f>
        <v/>
      </c>
      <c r="K59" s="212" t="n">
        <v>0.22</v>
      </c>
      <c r="L59" s="213">
        <f>J59*K59</f>
        <v/>
      </c>
      <c r="M59" s="199">
        <f>J59+L59</f>
        <v/>
      </c>
      <c r="N59" s="197" t="n"/>
      <c r="O59" s="126" t="n"/>
      <c r="P59" s="128" t="n"/>
      <c r="Q59" s="128" t="n"/>
      <c r="R59" s="128" t="n"/>
      <c r="S59" s="128" t="n"/>
      <c r="T59" s="128" t="n"/>
      <c r="U59" s="214" t="n"/>
      <c r="V59" s="128" t="n"/>
      <c r="W59" s="53" t="n"/>
      <c r="X59" s="53" t="n"/>
      <c r="Y59" s="53" t="n"/>
      <c r="Z59" s="53" t="n"/>
      <c r="AA59" s="53" t="n"/>
      <c r="AB59" s="215" t="n"/>
      <c r="AC59" s="53" t="n"/>
    </row>
    <row r="60" outlineLevel="1" s="186">
      <c r="A60" s="43" t="n">
        <v>24</v>
      </c>
      <c r="B60" s="204" t="n"/>
      <c r="C60" s="43" t="inlineStr">
        <is>
          <t>河流大中型穿越（水域）</t>
        </is>
      </c>
      <c r="D60" s="43" t="inlineStr">
        <is>
          <t>中等</t>
        </is>
      </c>
      <c r="E60" s="45" t="inlineStr">
        <is>
          <t>1:1000</t>
        </is>
      </c>
      <c r="F60" s="212" t="inlineStr">
        <is>
          <t>km2</t>
        </is>
      </c>
      <c r="G60" s="43" t="n"/>
      <c r="H60" s="43">
        <f>VLOOKUP(D60,{"简单","40464";"中等","53817";"复杂","75680"},2,0)</f>
        <v/>
      </c>
      <c r="I60" s="43" t="n">
        <v>1.5</v>
      </c>
      <c r="J60" s="213">
        <f>G60*I60*H60</f>
        <v/>
      </c>
      <c r="K60" s="212" t="n">
        <v>0.22</v>
      </c>
      <c r="L60" s="213">
        <f>J60*K60</f>
        <v/>
      </c>
      <c r="M60" s="199">
        <f>J60+L60</f>
        <v/>
      </c>
      <c r="N60" s="87" t="inlineStr">
        <is>
          <t>表2.3-1</t>
        </is>
      </c>
      <c r="O60" s="126" t="n"/>
      <c r="P60" s="128" t="n"/>
      <c r="Q60" s="128" t="n"/>
      <c r="R60" s="128" t="n"/>
      <c r="S60" s="128" t="n"/>
      <c r="T60" s="128" t="n"/>
      <c r="U60" s="214" t="n"/>
      <c r="V60" s="128" t="n"/>
      <c r="W60" s="53" t="n"/>
      <c r="X60" s="53" t="n"/>
      <c r="Y60" s="53" t="n"/>
      <c r="Z60" s="53" t="n"/>
      <c r="AA60" s="53" t="n"/>
      <c r="AB60" s="215" t="n"/>
      <c r="AC60" s="53" t="n"/>
    </row>
    <row r="61" outlineLevel="1" s="186">
      <c r="A61" s="43" t="n">
        <v>25</v>
      </c>
      <c r="B61" s="204" t="n"/>
      <c r="C61" s="43" t="inlineStr">
        <is>
          <t>连片鱼塘穿越</t>
        </is>
      </c>
      <c r="D61" s="43" t="inlineStr">
        <is>
          <t>复杂</t>
        </is>
      </c>
      <c r="E61" s="45" t="inlineStr">
        <is>
          <t>1:1000</t>
        </is>
      </c>
      <c r="F61" s="212" t="inlineStr">
        <is>
          <t>km2</t>
        </is>
      </c>
      <c r="G61" s="43" t="n"/>
      <c r="H61" s="43">
        <f>VLOOKUP(D61,{"简单","15174";"中等","20232";"复杂","32374"},2,0)</f>
        <v/>
      </c>
      <c r="I61" s="43" t="n">
        <v>1.5</v>
      </c>
      <c r="J61" s="213">
        <f>G61*I61*H61</f>
        <v/>
      </c>
      <c r="K61" s="212" t="n">
        <v>0.22</v>
      </c>
      <c r="L61" s="213">
        <f>J61*K61</f>
        <v/>
      </c>
      <c r="M61" s="199">
        <f>J61+L61</f>
        <v/>
      </c>
      <c r="N61" s="87" t="inlineStr">
        <is>
          <t>表2.2-2</t>
        </is>
      </c>
      <c r="O61" s="126" t="n"/>
      <c r="P61" s="128" t="n"/>
      <c r="Q61" s="128" t="n"/>
      <c r="R61" s="128" t="n"/>
      <c r="S61" s="128" t="n"/>
      <c r="T61" s="128" t="n"/>
      <c r="U61" s="214" t="n"/>
      <c r="V61" s="128" t="n"/>
      <c r="W61" s="53" t="n"/>
      <c r="X61" s="53" t="n"/>
      <c r="Y61" s="53" t="n"/>
      <c r="Z61" s="53" t="n"/>
      <c r="AA61" s="53" t="n"/>
      <c r="AB61" s="215" t="n"/>
      <c r="AC61" s="53" t="n"/>
    </row>
    <row r="62" outlineLevel="1" s="186">
      <c r="A62" s="43" t="n">
        <v>26</v>
      </c>
      <c r="B62" s="204" t="n"/>
      <c r="C62" s="53" t="inlineStr">
        <is>
          <t>山体定向钻</t>
        </is>
      </c>
      <c r="D62" s="53" t="inlineStr">
        <is>
          <t>复杂</t>
        </is>
      </c>
      <c r="E62" s="45" t="inlineStr">
        <is>
          <t>1:1000</t>
        </is>
      </c>
      <c r="F62" s="212" t="inlineStr">
        <is>
          <t>km2</t>
        </is>
      </c>
      <c r="G62" s="43" t="n"/>
      <c r="H62" s="43">
        <f>VLOOKUP(D62,{"简单","15174";"中等","20232";"复杂","32374"},2,0)</f>
        <v/>
      </c>
      <c r="I62" s="43" t="n">
        <v>1.8</v>
      </c>
      <c r="J62" s="213">
        <f>G62*I62*H62</f>
        <v/>
      </c>
      <c r="K62" s="212" t="n">
        <v>0.22</v>
      </c>
      <c r="L62" s="213">
        <f>J62*K62</f>
        <v/>
      </c>
      <c r="M62" s="199">
        <f>J62+L62</f>
        <v/>
      </c>
      <c r="N62" s="204" t="n"/>
      <c r="O62" s="126" t="n"/>
      <c r="P62" s="128" t="n"/>
      <c r="Q62" s="128" t="n"/>
      <c r="R62" s="128" t="n"/>
      <c r="S62" s="128" t="n"/>
      <c r="T62" s="128" t="n"/>
      <c r="U62" s="214" t="n"/>
      <c r="V62" s="128" t="n"/>
      <c r="W62" s="53" t="n"/>
      <c r="X62" s="53" t="n"/>
      <c r="Y62" s="53" t="n"/>
      <c r="Z62" s="53" t="n"/>
      <c r="AA62" s="53" t="n"/>
      <c r="AB62" s="215" t="n"/>
      <c r="AC62" s="53" t="n"/>
    </row>
    <row r="63" outlineLevel="1" s="186">
      <c r="A63" s="43" t="n">
        <v>27</v>
      </c>
      <c r="B63" s="204" t="n"/>
      <c r="C63" s="43" t="inlineStr">
        <is>
          <t>站场（地形图）</t>
        </is>
      </c>
      <c r="D63" s="43" t="inlineStr">
        <is>
          <t>复杂</t>
        </is>
      </c>
      <c r="E63" s="45" t="inlineStr">
        <is>
          <t>1:500</t>
        </is>
      </c>
      <c r="F63" s="212" t="inlineStr">
        <is>
          <t>km2</t>
        </is>
      </c>
      <c r="G63" s="43" t="n"/>
      <c r="H63" s="43">
        <f>VLOOKUP(D63,{"简单","33383";"中等","44510";"复杂","71216"},2,0)</f>
        <v/>
      </c>
      <c r="I63" s="43" t="n">
        <v>1.8</v>
      </c>
      <c r="J63" s="213">
        <f>G63*I63*H63</f>
        <v/>
      </c>
      <c r="K63" s="212" t="n">
        <v>0.22</v>
      </c>
      <c r="L63" s="213">
        <f>J63*K63</f>
        <v/>
      </c>
      <c r="M63" s="199">
        <f>J63+L63</f>
        <v/>
      </c>
      <c r="N63" s="204" t="n"/>
      <c r="O63" s="126" t="n"/>
      <c r="P63" s="128" t="n"/>
      <c r="Q63" s="128" t="n"/>
      <c r="R63" s="128" t="n"/>
      <c r="S63" s="128" t="n"/>
      <c r="T63" s="128" t="n"/>
      <c r="U63" s="214" t="n"/>
      <c r="V63" s="128" t="n"/>
      <c r="W63" s="53" t="n"/>
      <c r="X63" s="53" t="n"/>
      <c r="Y63" s="53" t="n"/>
      <c r="Z63" s="53" t="n"/>
      <c r="AA63" s="53" t="n"/>
      <c r="AB63" s="215" t="n"/>
      <c r="AC63" s="53" t="n"/>
    </row>
    <row r="64" outlineLevel="1" s="186">
      <c r="A64" s="43" t="n">
        <v>28</v>
      </c>
      <c r="B64" s="204" t="n"/>
      <c r="C64" s="43" t="inlineStr">
        <is>
          <t>站场（区位图）</t>
        </is>
      </c>
      <c r="D64" s="43" t="inlineStr">
        <is>
          <t>中等</t>
        </is>
      </c>
      <c r="E64" s="45" t="inlineStr">
        <is>
          <t>1:2000</t>
        </is>
      </c>
      <c r="F64" s="212" t="inlineStr">
        <is>
          <t>km2</t>
        </is>
      </c>
      <c r="G64" s="43" t="n"/>
      <c r="H64" s="43">
        <f>VLOOKUP(D64,{"简单","6676";"中等","8901";"复杂","14244"},2,0)</f>
        <v/>
      </c>
      <c r="I64" s="43" t="n">
        <v>1.8</v>
      </c>
      <c r="J64" s="213">
        <f>G64*I64*H64</f>
        <v/>
      </c>
      <c r="K64" s="212" t="n">
        <v>0.22</v>
      </c>
      <c r="L64" s="213">
        <f>J64*K64</f>
        <v/>
      </c>
      <c r="M64" s="199">
        <f>J64+L64</f>
        <v/>
      </c>
      <c r="N64" s="204" t="n"/>
      <c r="O64" s="126" t="n"/>
      <c r="P64" s="128" t="n"/>
      <c r="Q64" s="128" t="n"/>
      <c r="R64" s="128" t="n"/>
      <c r="S64" s="128" t="n"/>
      <c r="T64" s="128" t="n"/>
      <c r="U64" s="214" t="n"/>
      <c r="V64" s="128" t="n"/>
      <c r="W64" s="53" t="n"/>
      <c r="X64" s="53" t="n"/>
      <c r="Y64" s="53" t="n"/>
      <c r="Z64" s="53" t="n"/>
      <c r="AA64" s="53" t="n"/>
      <c r="AB64" s="215" t="n"/>
      <c r="AC64" s="53" t="n"/>
    </row>
    <row r="65" outlineLevel="1" s="186">
      <c r="A65" s="43" t="n">
        <v>29</v>
      </c>
      <c r="B65" s="204" t="n"/>
      <c r="C65" s="43" t="inlineStr">
        <is>
          <t>阀室</t>
        </is>
      </c>
      <c r="D65" s="43" t="inlineStr">
        <is>
          <t>复杂</t>
        </is>
      </c>
      <c r="E65" s="45" t="inlineStr">
        <is>
          <t>1:500</t>
        </is>
      </c>
      <c r="F65" s="212" t="inlineStr">
        <is>
          <t>km2</t>
        </is>
      </c>
      <c r="G65" s="43" t="n"/>
      <c r="H65" s="43">
        <f>VLOOKUP(D65,{"简单","33383";"中等","44510";"复杂","71216"},2,0)</f>
        <v/>
      </c>
      <c r="I65" s="43" t="n">
        <v>1.8</v>
      </c>
      <c r="J65" s="213">
        <f>G65*I65*H65</f>
        <v/>
      </c>
      <c r="K65" s="212" t="n">
        <v>0.22</v>
      </c>
      <c r="L65" s="213">
        <f>J65*K65</f>
        <v/>
      </c>
      <c r="M65" s="199">
        <f>J65+L65</f>
        <v/>
      </c>
      <c r="N65" s="204" t="n"/>
      <c r="O65" s="126" t="n"/>
      <c r="P65" s="128" t="n"/>
      <c r="Q65" s="128" t="n"/>
      <c r="R65" s="128" t="n"/>
      <c r="S65" s="128" t="n"/>
      <c r="T65" s="128" t="n"/>
      <c r="U65" s="214" t="n"/>
      <c r="V65" s="128" t="n"/>
      <c r="W65" s="53" t="n"/>
      <c r="X65" s="53" t="n"/>
      <c r="Y65" s="53" t="n"/>
      <c r="Z65" s="53" t="n"/>
      <c r="AA65" s="53" t="n"/>
      <c r="AB65" s="215" t="n"/>
      <c r="AC65" s="53" t="n"/>
    </row>
    <row r="66" outlineLevel="1" s="186">
      <c r="A66" s="43" t="n">
        <v>30</v>
      </c>
      <c r="B66" s="204" t="n"/>
      <c r="C66" s="43" t="inlineStr">
        <is>
          <t>阀室</t>
        </is>
      </c>
      <c r="D66" s="43" t="inlineStr">
        <is>
          <t>中等</t>
        </is>
      </c>
      <c r="E66" s="45" t="inlineStr">
        <is>
          <t>1:500</t>
        </is>
      </c>
      <c r="F66" s="212" t="inlineStr">
        <is>
          <t>km2</t>
        </is>
      </c>
      <c r="G66" s="43" t="n"/>
      <c r="H66" s="43">
        <f>VLOOKUP(D66,{"简单","33383";"中等","44510";"复杂","71216"},2,0)</f>
        <v/>
      </c>
      <c r="I66" s="43" t="n">
        <v>1.5</v>
      </c>
      <c r="J66" s="213">
        <f>G66*I66*H66</f>
        <v/>
      </c>
      <c r="K66" s="212" t="n">
        <v>0.22</v>
      </c>
      <c r="L66" s="213">
        <f>J66*K66</f>
        <v/>
      </c>
      <c r="M66" s="199">
        <f>J66+L66</f>
        <v/>
      </c>
      <c r="N66" s="204" t="n"/>
      <c r="O66" s="126" t="n"/>
      <c r="P66" s="128" t="n"/>
      <c r="Q66" s="128" t="n"/>
      <c r="R66" s="128" t="n"/>
      <c r="S66" s="128" t="n"/>
      <c r="T66" s="128" t="n"/>
      <c r="U66" s="214" t="n"/>
      <c r="V66" s="128" t="n"/>
      <c r="W66" s="53" t="n"/>
      <c r="X66" s="53" t="n"/>
      <c r="Y66" s="53" t="n"/>
      <c r="Z66" s="53" t="n"/>
      <c r="AA66" s="53" t="n"/>
      <c r="AB66" s="215" t="n"/>
      <c r="AC66" s="53" t="n"/>
    </row>
    <row r="67" outlineLevel="1" s="186">
      <c r="A67" s="43" t="n">
        <v>31</v>
      </c>
      <c r="B67" s="197" t="n"/>
      <c r="C67" s="43" t="inlineStr">
        <is>
          <t>公路、铁路、小型穿越</t>
        </is>
      </c>
      <c r="D67" s="43" t="inlineStr">
        <is>
          <t>中等</t>
        </is>
      </c>
      <c r="E67" s="45" t="inlineStr">
        <is>
          <t>1:500</t>
        </is>
      </c>
      <c r="F67" s="212" t="inlineStr">
        <is>
          <t>km2</t>
        </is>
      </c>
      <c r="G67" s="43" t="n"/>
      <c r="H67" s="43">
        <f>VLOOKUP(D67,{"简单","33383";"中等","44510";"复杂","71216"},2,0)</f>
        <v/>
      </c>
      <c r="I67" s="43" t="n">
        <v>1.5</v>
      </c>
      <c r="J67" s="213">
        <f>G67*I67*H67</f>
        <v/>
      </c>
      <c r="K67" s="212" t="n">
        <v>0.22</v>
      </c>
      <c r="L67" s="213">
        <f>J67*K67</f>
        <v/>
      </c>
      <c r="M67" s="199">
        <f>J67+L67</f>
        <v/>
      </c>
      <c r="N67" s="204" t="n"/>
      <c r="O67" s="126" t="n"/>
      <c r="P67" s="128" t="n"/>
      <c r="Q67" s="128" t="n"/>
      <c r="R67" s="128" t="n"/>
      <c r="S67" s="128" t="n"/>
      <c r="T67" s="128" t="n"/>
      <c r="U67" s="214" t="n"/>
      <c r="V67" s="128" t="n"/>
      <c r="W67" s="53" t="n"/>
      <c r="X67" s="53" t="n"/>
      <c r="Y67" s="53" t="n"/>
      <c r="Z67" s="53" t="n"/>
      <c r="AA67" s="53" t="n"/>
      <c r="AB67" s="215" t="n"/>
      <c r="AC67" s="53" t="n"/>
    </row>
    <row r="68" outlineLevel="1" s="186">
      <c r="A68" s="43" t="n">
        <v>32</v>
      </c>
      <c r="B68" s="43" t="inlineStr">
        <is>
          <t>断面测量</t>
        </is>
      </c>
      <c r="C68" s="43" t="inlineStr">
        <is>
          <t>线路纵断面</t>
        </is>
      </c>
      <c r="D68" s="43" t="inlineStr">
        <is>
          <t>中等</t>
        </is>
      </c>
      <c r="E68" s="45" t="inlineStr">
        <is>
          <t>1:2000</t>
        </is>
      </c>
      <c r="F68" s="212" t="inlineStr">
        <is>
          <t>km</t>
        </is>
      </c>
      <c r="G68" s="43" t="n"/>
      <c r="H68" s="43">
        <f>VLOOKUP(D68,{"简单","468";"中等","625";"复杂","860"},2,0)</f>
        <v/>
      </c>
      <c r="I68" s="43" t="n">
        <v>1.5</v>
      </c>
      <c r="J68" s="213">
        <f>G68*I68*H68</f>
        <v/>
      </c>
      <c r="K68" s="212" t="n">
        <v>0.22</v>
      </c>
      <c r="L68" s="213">
        <f>J68*K68</f>
        <v/>
      </c>
      <c r="M68" s="199">
        <f>J68+L68</f>
        <v/>
      </c>
      <c r="N68" s="204" t="n"/>
      <c r="O68" s="126" t="n"/>
      <c r="P68" s="128" t="n"/>
      <c r="Q68" s="128" t="n"/>
      <c r="R68" s="128" t="n"/>
      <c r="S68" s="128" t="n"/>
      <c r="T68" s="128" t="n"/>
      <c r="U68" s="214" t="n"/>
      <c r="V68" s="128" t="n"/>
      <c r="W68" s="53" t="n"/>
      <c r="X68" s="53" t="n"/>
      <c r="Y68" s="53" t="n"/>
      <c r="Z68" s="53" t="n"/>
      <c r="AA68" s="53" t="n"/>
      <c r="AB68" s="215" t="n"/>
      <c r="AC68" s="53" t="n"/>
    </row>
    <row r="69" outlineLevel="1" s="186">
      <c r="A69" s="43" t="n">
        <v>33</v>
      </c>
      <c r="B69" s="204" t="n"/>
      <c r="C69" s="43" t="inlineStr">
        <is>
          <t>山岭隧道（洞身）</t>
        </is>
      </c>
      <c r="D69" s="43" t="inlineStr">
        <is>
          <t>复杂</t>
        </is>
      </c>
      <c r="E69" s="45" t="inlineStr">
        <is>
          <t>1:2000</t>
        </is>
      </c>
      <c r="F69" s="212" t="inlineStr">
        <is>
          <t>km</t>
        </is>
      </c>
      <c r="G69" s="43" t="n"/>
      <c r="H69" s="43">
        <f>VLOOKUP(D69,{"简单","468";"中等","625";"复杂","860"},2,0)</f>
        <v/>
      </c>
      <c r="I69" s="43" t="n">
        <v>1.5</v>
      </c>
      <c r="J69" s="213">
        <f>G69*I69*H69</f>
        <v/>
      </c>
      <c r="K69" s="212" t="n">
        <v>0.22</v>
      </c>
      <c r="L69" s="213">
        <f>J69*K69</f>
        <v/>
      </c>
      <c r="M69" s="199">
        <f>J69+L69</f>
        <v/>
      </c>
      <c r="N69" s="204" t="n"/>
      <c r="O69" s="126" t="n"/>
      <c r="P69" s="128" t="n"/>
      <c r="Q69" s="128" t="n"/>
      <c r="R69" s="128" t="n"/>
      <c r="S69" s="128" t="n"/>
      <c r="T69" s="128" t="n"/>
      <c r="U69" s="214" t="n"/>
      <c r="V69" s="128" t="n"/>
      <c r="W69" s="53" t="n"/>
      <c r="X69" s="53" t="n"/>
      <c r="Y69" s="53" t="n"/>
      <c r="Z69" s="53" t="n"/>
      <c r="AA69" s="53" t="n"/>
      <c r="AB69" s="215" t="n"/>
      <c r="AC69" s="53" t="n"/>
    </row>
    <row r="70" outlineLevel="1" s="186">
      <c r="A70" s="43" t="n">
        <v>34</v>
      </c>
      <c r="B70" s="204" t="n"/>
      <c r="C70" s="43" t="inlineStr">
        <is>
          <t>山岭隧道（洞口）</t>
        </is>
      </c>
      <c r="D70" s="43" t="inlineStr">
        <is>
          <t>复杂</t>
        </is>
      </c>
      <c r="E70" s="45" t="inlineStr">
        <is>
          <t>1:500</t>
        </is>
      </c>
      <c r="F70" s="212" t="inlineStr">
        <is>
          <t>km</t>
        </is>
      </c>
      <c r="G70" s="43" t="n"/>
      <c r="H70" s="43">
        <f>VLOOKUP(D70,{"简单","785";"中等","1047";"复杂","1440"},2,0)</f>
        <v/>
      </c>
      <c r="I70" s="43" t="n">
        <v>1.5</v>
      </c>
      <c r="J70" s="213">
        <f>G70*I70*H70</f>
        <v/>
      </c>
      <c r="K70" s="212" t="n">
        <v>0.22</v>
      </c>
      <c r="L70" s="213">
        <f>J70*K70</f>
        <v/>
      </c>
      <c r="M70" s="199">
        <f>J70+L70</f>
        <v/>
      </c>
      <c r="N70" s="204" t="n"/>
      <c r="O70" s="126" t="n"/>
      <c r="P70" s="128" t="n"/>
      <c r="Q70" s="128" t="n"/>
      <c r="R70" s="128" t="n"/>
      <c r="S70" s="128" t="n"/>
      <c r="T70" s="128" t="n"/>
      <c r="U70" s="214" t="n"/>
      <c r="V70" s="128" t="n"/>
      <c r="W70" s="53" t="n"/>
      <c r="X70" s="53" t="n"/>
      <c r="Y70" s="53" t="n"/>
      <c r="Z70" s="53" t="n"/>
      <c r="AA70" s="53" t="n"/>
      <c r="AB70" s="215" t="n"/>
      <c r="AC70" s="53" t="n"/>
    </row>
    <row r="71" outlineLevel="1" s="186">
      <c r="A71" s="43" t="n">
        <v>35</v>
      </c>
      <c r="B71" s="204" t="n"/>
      <c r="C71" s="43" t="inlineStr">
        <is>
          <t>河流大中型穿越（陆地）</t>
        </is>
      </c>
      <c r="D71" s="43" t="inlineStr">
        <is>
          <t>中等</t>
        </is>
      </c>
      <c r="E71" s="45" t="inlineStr">
        <is>
          <t>1:1000</t>
        </is>
      </c>
      <c r="F71" s="45" t="inlineStr">
        <is>
          <t>km</t>
        </is>
      </c>
      <c r="G71" s="43" t="n"/>
      <c r="H71" s="43">
        <f>VLOOKUP(D71,{"简单","607";"中等","809";"复杂","1113"},2,0)</f>
        <v/>
      </c>
      <c r="I71" s="43" t="n">
        <v>1.3</v>
      </c>
      <c r="J71" s="213">
        <f>G71*I71*H71</f>
        <v/>
      </c>
      <c r="K71" s="212" t="n">
        <v>0.22</v>
      </c>
      <c r="L71" s="213">
        <f>J71*K71</f>
        <v/>
      </c>
      <c r="M71" s="199">
        <f>J71+L71</f>
        <v/>
      </c>
      <c r="N71" s="197" t="n"/>
      <c r="O71" s="126" t="n"/>
      <c r="P71" s="128" t="n"/>
      <c r="Q71" s="128" t="n"/>
      <c r="R71" s="128" t="n"/>
      <c r="S71" s="128" t="n"/>
      <c r="T71" s="128" t="n"/>
      <c r="U71" s="214" t="n"/>
      <c r="V71" s="128" t="n"/>
      <c r="W71" s="53" t="n"/>
      <c r="X71" s="53" t="n"/>
      <c r="Y71" s="53" t="n"/>
      <c r="Z71" s="53" t="n"/>
      <c r="AA71" s="53" t="n"/>
      <c r="AB71" s="215" t="n"/>
      <c r="AC71" s="53" t="n"/>
    </row>
    <row r="72" outlineLevel="1" s="186">
      <c r="A72" s="43" t="n">
        <v>36</v>
      </c>
      <c r="B72" s="204" t="n"/>
      <c r="C72" s="43" t="inlineStr">
        <is>
          <t>河流大中型穿越（水域）</t>
        </is>
      </c>
      <c r="D72" s="43" t="inlineStr">
        <is>
          <t>中等</t>
        </is>
      </c>
      <c r="E72" s="45" t="inlineStr">
        <is>
          <t>1:1000</t>
        </is>
      </c>
      <c r="F72" s="45" t="inlineStr">
        <is>
          <t>km</t>
        </is>
      </c>
      <c r="G72" s="43" t="n"/>
      <c r="H72" s="43">
        <f>VLOOKUP(D72,{"简单","2023";"中等","2698";"复杂","4046"},2,0)</f>
        <v/>
      </c>
      <c r="I72" s="43" t="n">
        <v>1</v>
      </c>
      <c r="J72" s="213">
        <f>G72*I72*H72</f>
        <v/>
      </c>
      <c r="K72" s="212" t="n">
        <v>0.22</v>
      </c>
      <c r="L72" s="213">
        <f>J72*K72</f>
        <v/>
      </c>
      <c r="M72" s="199">
        <f>J72+L72</f>
        <v/>
      </c>
      <c r="N72" s="53" t="inlineStr">
        <is>
          <t>表2.3-1</t>
        </is>
      </c>
      <c r="O72" s="126" t="n"/>
      <c r="P72" s="128" t="n"/>
      <c r="Q72" s="128" t="n"/>
      <c r="R72" s="128" t="n"/>
      <c r="S72" s="128" t="n"/>
      <c r="T72" s="128" t="n"/>
      <c r="U72" s="214" t="n"/>
      <c r="V72" s="128" t="n"/>
      <c r="W72" s="53" t="n"/>
      <c r="X72" s="53" t="n"/>
      <c r="Y72" s="53" t="n"/>
      <c r="Z72" s="53" t="n"/>
      <c r="AA72" s="53" t="n"/>
      <c r="AB72" s="215" t="n"/>
      <c r="AC72" s="53" t="n"/>
    </row>
    <row r="73" outlineLevel="1" s="186">
      <c r="A73" s="43" t="n">
        <v>37</v>
      </c>
      <c r="B73" s="204" t="n"/>
      <c r="C73" s="43" t="inlineStr">
        <is>
          <t>连片鱼塘穿越</t>
        </is>
      </c>
      <c r="D73" s="43" t="inlineStr">
        <is>
          <t>中等</t>
        </is>
      </c>
      <c r="E73" s="45" t="inlineStr">
        <is>
          <t>1:1000</t>
        </is>
      </c>
      <c r="F73" s="45" t="inlineStr">
        <is>
          <t>km</t>
        </is>
      </c>
      <c r="G73" s="43" t="n"/>
      <c r="H73" s="43">
        <f>VLOOKUP(D73,{"简单","607";"中等","809";"复杂","1113"},2,0)</f>
        <v/>
      </c>
      <c r="I73" s="43" t="n">
        <v>1.5</v>
      </c>
      <c r="J73" s="213">
        <f>G73*I73*H73</f>
        <v/>
      </c>
      <c r="K73" s="212" t="n">
        <v>0.22</v>
      </c>
      <c r="L73" s="213">
        <f>J73*K73</f>
        <v/>
      </c>
      <c r="M73" s="199">
        <f>J73+L73</f>
        <v/>
      </c>
      <c r="N73" s="53" t="inlineStr">
        <is>
          <t>表2.2-2</t>
        </is>
      </c>
      <c r="O73" s="126" t="n"/>
      <c r="P73" s="128" t="n"/>
      <c r="Q73" s="128" t="n"/>
      <c r="R73" s="128" t="n"/>
      <c r="S73" s="128" t="n"/>
      <c r="T73" s="128" t="n"/>
      <c r="U73" s="214" t="n"/>
      <c r="V73" s="128" t="n"/>
      <c r="W73" s="53" t="n"/>
      <c r="X73" s="53" t="n"/>
      <c r="Y73" s="53" t="n"/>
      <c r="Z73" s="53" t="n"/>
      <c r="AA73" s="53" t="n"/>
      <c r="AB73" s="215" t="n"/>
      <c r="AC73" s="53" t="n"/>
    </row>
    <row r="74" outlineLevel="1" s="186">
      <c r="A74" s="43" t="n">
        <v>38</v>
      </c>
      <c r="B74" s="204" t="n"/>
      <c r="C74" s="53" t="inlineStr">
        <is>
          <t>山体定向钻</t>
        </is>
      </c>
      <c r="D74" s="53" t="inlineStr">
        <is>
          <t>复杂</t>
        </is>
      </c>
      <c r="E74" s="45" t="inlineStr">
        <is>
          <t>1:1000</t>
        </is>
      </c>
      <c r="F74" s="212" t="inlineStr">
        <is>
          <t>km</t>
        </is>
      </c>
      <c r="G74" s="43" t="n"/>
      <c r="H74" s="43">
        <f>VLOOKUP(D74,{"简单","607";"中等","809";"复杂","1113"},2,0)</f>
        <v/>
      </c>
      <c r="I74" s="43" t="n">
        <v>1.5</v>
      </c>
      <c r="J74" s="213">
        <f>G74*I74*H74</f>
        <v/>
      </c>
      <c r="K74" s="212" t="n">
        <v>0.22</v>
      </c>
      <c r="L74" s="213">
        <f>J74*K74</f>
        <v/>
      </c>
      <c r="M74" s="199">
        <f>J74+L74</f>
        <v/>
      </c>
      <c r="N74" s="204" t="n"/>
      <c r="O74" s="126" t="n"/>
      <c r="P74" s="128" t="n"/>
      <c r="Q74" s="128" t="n"/>
      <c r="R74" s="128" t="n"/>
      <c r="S74" s="128" t="n"/>
      <c r="T74" s="128" t="n"/>
      <c r="U74" s="214" t="n"/>
      <c r="V74" s="128" t="n"/>
      <c r="W74" s="53" t="n"/>
      <c r="X74" s="53" t="n"/>
      <c r="Y74" s="53" t="n"/>
      <c r="Z74" s="53" t="n"/>
      <c r="AA74" s="53" t="n"/>
      <c r="AB74" s="215" t="n"/>
      <c r="AC74" s="53" t="n"/>
    </row>
    <row r="75" outlineLevel="1" s="186">
      <c r="A75" s="43" t="n">
        <v>39</v>
      </c>
      <c r="B75" s="197" t="n"/>
      <c r="C75" s="43" t="inlineStr">
        <is>
          <t>公路、铁路、小型穿越</t>
        </is>
      </c>
      <c r="D75" s="43" t="inlineStr">
        <is>
          <t>中等</t>
        </is>
      </c>
      <c r="E75" s="45" t="inlineStr">
        <is>
          <t>1:500</t>
        </is>
      </c>
      <c r="F75" s="212" t="inlineStr">
        <is>
          <t>km</t>
        </is>
      </c>
      <c r="G75" s="43" t="n"/>
      <c r="H75" s="43">
        <f>VLOOKUP(D75,{"简单","785";"中等","1047";"复杂","1440"},2,0)</f>
        <v/>
      </c>
      <c r="I75" s="43" t="n">
        <v>1.5</v>
      </c>
      <c r="J75" s="213">
        <f>G75*I75*H75</f>
        <v/>
      </c>
      <c r="K75" s="212" t="n">
        <v>0.22</v>
      </c>
      <c r="L75" s="213">
        <f>J75*K75</f>
        <v/>
      </c>
      <c r="M75" s="199">
        <f>J75+L75</f>
        <v/>
      </c>
      <c r="N75" s="197" t="n"/>
      <c r="O75" s="126" t="n"/>
      <c r="P75" s="128" t="n"/>
      <c r="Q75" s="128" t="n"/>
      <c r="R75" s="128" t="n"/>
      <c r="S75" s="128" t="n"/>
      <c r="T75" s="128" t="n"/>
      <c r="U75" s="214" t="n"/>
      <c r="V75" s="128" t="n"/>
      <c r="W75" s="53" t="n"/>
      <c r="X75" s="53" t="n"/>
      <c r="Y75" s="53" t="n"/>
      <c r="Z75" s="53" t="n"/>
      <c r="AA75" s="53" t="n"/>
      <c r="AB75" s="215" t="n"/>
      <c r="AC75" s="53" t="n"/>
    </row>
    <row r="76" outlineLevel="1" s="186">
      <c r="A76" s="43" t="n">
        <v>40</v>
      </c>
      <c r="B76" s="87" t="inlineStr">
        <is>
          <t>地下
管线
测量</t>
        </is>
      </c>
      <c r="C76" s="113" t="inlineStr">
        <is>
          <t>地下管线测量</t>
        </is>
      </c>
      <c r="D76" s="43" t="inlineStr">
        <is>
          <t>复杂</t>
        </is>
      </c>
      <c r="E76" s="45" t="inlineStr">
        <is>
          <t>/</t>
        </is>
      </c>
      <c r="F76" s="212" t="inlineStr">
        <is>
          <t>km</t>
        </is>
      </c>
      <c r="G76" s="43" t="n"/>
      <c r="H76" s="43">
        <f>VLOOKUP(D76,{"简单","1416";"中等","1700";"复杂","2337"},2,0)</f>
        <v/>
      </c>
      <c r="I76" s="53" t="n">
        <v>1</v>
      </c>
      <c r="J76" s="213">
        <f>G76*I76*H76</f>
        <v/>
      </c>
      <c r="K76" s="212" t="n">
        <v>0.22</v>
      </c>
      <c r="L76" s="213">
        <f>J76*K76</f>
        <v/>
      </c>
      <c r="M76" s="199">
        <f>J76+L76</f>
        <v/>
      </c>
      <c r="N76" s="53" t="inlineStr">
        <is>
          <t>表2.4-1</t>
        </is>
      </c>
      <c r="O76" s="129" t="n"/>
      <c r="P76" s="128" t="n"/>
      <c r="Q76" s="128" t="n"/>
      <c r="R76" s="128" t="n"/>
      <c r="S76" s="128" t="n"/>
      <c r="T76" s="128" t="n"/>
      <c r="U76" s="214" t="n"/>
      <c r="V76" s="128" t="n"/>
      <c r="W76" s="53" t="n"/>
      <c r="X76" s="53" t="n"/>
      <c r="Y76" s="53" t="n"/>
      <c r="Z76" s="53" t="n"/>
      <c r="AA76" s="53" t="n"/>
      <c r="AB76" s="215" t="n"/>
      <c r="AC76" s="53" t="n"/>
    </row>
    <row r="77" outlineLevel="1" s="186">
      <c r="A77" s="43" t="n">
        <v>41</v>
      </c>
      <c r="B77" s="204" t="n"/>
      <c r="C77" s="113" t="inlineStr">
        <is>
          <t>盲探管线</t>
        </is>
      </c>
      <c r="D77" s="43" t="inlineStr">
        <is>
          <t>中等</t>
        </is>
      </c>
      <c r="E77" s="45" t="n"/>
      <c r="F77" s="212" t="inlineStr">
        <is>
          <t>m2</t>
        </is>
      </c>
      <c r="G77" s="43" t="n"/>
      <c r="H77" s="105">
        <f>VLOOKUP(D77,{"简单","1";"中等","1.5";"复杂","2"},2,0)</f>
        <v/>
      </c>
      <c r="I77" s="190" t="n">
        <v>1</v>
      </c>
      <c r="J77" s="213">
        <f>G77*I77*H77</f>
        <v/>
      </c>
      <c r="K77" s="212" t="n">
        <v>0.22</v>
      </c>
      <c r="L77" s="213">
        <f>J77*K77</f>
        <v/>
      </c>
      <c r="M77" s="199">
        <f>J77+L77</f>
        <v/>
      </c>
      <c r="N77" s="53" t="inlineStr">
        <is>
          <t>表7.2-1</t>
        </is>
      </c>
      <c r="O77" s="130" t="n"/>
      <c r="P77" s="128" t="n"/>
      <c r="Q77" s="128" t="n"/>
      <c r="R77" s="128" t="n"/>
      <c r="S77" s="128" t="n"/>
      <c r="T77" s="128" t="n"/>
      <c r="U77" s="214" t="n"/>
      <c r="V77" s="128" t="n"/>
      <c r="W77" s="53" t="n"/>
      <c r="X77" s="53" t="n"/>
      <c r="Y77" s="53" t="n"/>
      <c r="Z77" s="53" t="n"/>
      <c r="AA77" s="53" t="n"/>
      <c r="AB77" s="215" t="n"/>
      <c r="AC77" s="53" t="n"/>
    </row>
    <row r="78" outlineLevel="1" s="186">
      <c r="A78" s="43" t="n">
        <v>42</v>
      </c>
      <c r="B78" s="197" t="n"/>
      <c r="C78" s="105" t="inlineStr">
        <is>
          <t>金属管线探查</t>
        </is>
      </c>
      <c r="D78" s="43" t="inlineStr">
        <is>
          <t>复杂</t>
        </is>
      </c>
      <c r="E78" s="45" t="inlineStr">
        <is>
          <t>/</t>
        </is>
      </c>
      <c r="F78" s="212" t="inlineStr">
        <is>
          <t>km</t>
        </is>
      </c>
      <c r="G78" s="43" t="n"/>
      <c r="H78" s="217">
        <f>VLOOKUP(D78,{"简单","2250";"中等","4500";"复杂","7200"},2,0)</f>
        <v/>
      </c>
      <c r="I78" s="53" t="n">
        <v>1</v>
      </c>
      <c r="J78" s="213">
        <f>G78*I78*H78</f>
        <v/>
      </c>
      <c r="K78" s="212" t="n">
        <v>0.22</v>
      </c>
      <c r="L78" s="213">
        <f>J78*K78</f>
        <v/>
      </c>
      <c r="M78" s="199">
        <f>J78+L78</f>
        <v/>
      </c>
      <c r="N78" s="53" t="inlineStr">
        <is>
          <t>表7.2-1</t>
        </is>
      </c>
      <c r="O78" s="130" t="n"/>
      <c r="P78" s="128" t="n"/>
      <c r="Q78" s="128" t="n"/>
      <c r="R78" s="128" t="n"/>
      <c r="S78" s="128" t="n"/>
      <c r="T78" s="128" t="n"/>
      <c r="U78" s="214" t="n"/>
      <c r="V78" s="128" t="n"/>
      <c r="W78" s="53" t="n"/>
      <c r="X78" s="53" t="n"/>
      <c r="Y78" s="53" t="n"/>
      <c r="Z78" s="53" t="n"/>
      <c r="AA78" s="53" t="n"/>
      <c r="AB78" s="215" t="n"/>
      <c r="AC78" s="53" t="n"/>
    </row>
    <row r="79" s="186">
      <c r="A79" s="115" t="inlineStr">
        <is>
          <t>合    计</t>
        </is>
      </c>
      <c r="B79" s="209" t="n"/>
      <c r="C79" s="209" t="n"/>
      <c r="D79" s="209" t="n"/>
      <c r="E79" s="209" t="n"/>
      <c r="F79" s="209" t="n"/>
      <c r="G79" s="43" t="n"/>
      <c r="H79" s="43" t="n"/>
      <c r="I79" s="43" t="n"/>
      <c r="J79" s="218">
        <f>SUM(J44:J78)</f>
        <v/>
      </c>
      <c r="K79" s="219" t="n"/>
      <c r="L79" s="218">
        <f>SUM(L44:L78)</f>
        <v/>
      </c>
      <c r="M79" s="218">
        <f>SUM(M44:M78)</f>
        <v/>
      </c>
      <c r="N79" s="94" t="n"/>
      <c r="O79" s="130" t="n"/>
      <c r="P79" s="128" t="n"/>
      <c r="Q79" s="195" t="n"/>
      <c r="R79" s="195" t="n"/>
      <c r="S79" s="195" t="n"/>
      <c r="T79" s="196" t="n"/>
      <c r="U79" s="214" t="n"/>
      <c r="V79" s="128" t="n"/>
      <c r="W79" s="53" t="n"/>
      <c r="X79" s="195" t="n"/>
      <c r="Y79" s="195" t="n"/>
      <c r="Z79" s="195" t="n"/>
      <c r="AA79" s="196" t="n"/>
      <c r="AB79" s="215" t="n"/>
      <c r="AC79" s="53" t="n"/>
    </row>
    <row r="80" customFormat="1" s="107">
      <c r="A80" s="150" t="inlineStr">
        <is>
          <t>测量费用共计</t>
        </is>
      </c>
      <c r="B80" s="209" t="n"/>
      <c r="C80" s="209" t="n"/>
      <c r="D80" s="209" t="n"/>
      <c r="E80" s="209" t="n"/>
      <c r="F80" s="209" t="n"/>
      <c r="G80" s="43" t="n"/>
      <c r="H80" s="43" t="n"/>
      <c r="I80" s="43" t="n"/>
      <c r="J80" s="222" t="n"/>
      <c r="K80" s="223" t="n"/>
      <c r="L80" s="222" t="n"/>
      <c r="M80" s="222">
        <f>+M79+M40</f>
        <v/>
      </c>
      <c r="N80" s="154" t="n"/>
      <c r="O80" s="155" t="n"/>
      <c r="U80" s="224" t="n"/>
      <c r="W80" s="157" t="n"/>
      <c r="X80" s="157" t="n"/>
      <c r="Y80" s="157" t="n"/>
      <c r="Z80" s="157" t="n"/>
      <c r="AA80" s="157" t="n"/>
      <c r="AB80" s="225" t="n"/>
      <c r="AC80" s="157" t="n"/>
    </row>
  </sheetData>
  <mergeCells count="71">
    <mergeCell ref="N22:N32"/>
    <mergeCell ref="P79:T79"/>
    <mergeCell ref="W40:AA40"/>
    <mergeCell ref="N73:N75"/>
    <mergeCell ref="AC3:AC4"/>
    <mergeCell ref="A41:O41"/>
    <mergeCell ref="A80:F80"/>
    <mergeCell ref="B3:F3"/>
    <mergeCell ref="N3:N4"/>
    <mergeCell ref="N34:N36"/>
    <mergeCell ref="X3:X4"/>
    <mergeCell ref="W2:AC2"/>
    <mergeCell ref="Q42:Q43"/>
    <mergeCell ref="Z3:Z4"/>
    <mergeCell ref="S42:S43"/>
    <mergeCell ref="N5:N15"/>
    <mergeCell ref="A2:F2"/>
    <mergeCell ref="P40:T40"/>
    <mergeCell ref="T42:T43"/>
    <mergeCell ref="N61:N71"/>
    <mergeCell ref="B42:F42"/>
    <mergeCell ref="A3:A4"/>
    <mergeCell ref="M3:M4"/>
    <mergeCell ref="AC42:AC43"/>
    <mergeCell ref="B76:B78"/>
    <mergeCell ref="N42:N43"/>
    <mergeCell ref="U3:U4"/>
    <mergeCell ref="N55:N59"/>
    <mergeCell ref="W3:W4"/>
    <mergeCell ref="W79:AA79"/>
    <mergeCell ref="R42:R43"/>
    <mergeCell ref="B44:B54"/>
    <mergeCell ref="X42:X43"/>
    <mergeCell ref="Z42:Z43"/>
    <mergeCell ref="B5:B15"/>
    <mergeCell ref="G42:J42"/>
    <mergeCell ref="N44:N54"/>
    <mergeCell ref="A42:A43"/>
    <mergeCell ref="AA3:AA4"/>
    <mergeCell ref="P3:P4"/>
    <mergeCell ref="K42:L42"/>
    <mergeCell ref="N16:N20"/>
    <mergeCell ref="B29:B36"/>
    <mergeCell ref="R3:R4"/>
    <mergeCell ref="M42:M43"/>
    <mergeCell ref="A40:F40"/>
    <mergeCell ref="T3:T4"/>
    <mergeCell ref="O42:O43"/>
    <mergeCell ref="U42:U43"/>
    <mergeCell ref="AB3:AB4"/>
    <mergeCell ref="W42:W43"/>
    <mergeCell ref="P2:V2"/>
    <mergeCell ref="G2:O2"/>
    <mergeCell ref="B55:B67"/>
    <mergeCell ref="G3:J3"/>
    <mergeCell ref="O3:O4"/>
    <mergeCell ref="Y42:Y43"/>
    <mergeCell ref="B68:B75"/>
    <mergeCell ref="A79:F79"/>
    <mergeCell ref="Q3:Q4"/>
    <mergeCell ref="A1:O1"/>
    <mergeCell ref="P42:P43"/>
    <mergeCell ref="S3:S4"/>
    <mergeCell ref="V3:V4"/>
    <mergeCell ref="B16:B28"/>
    <mergeCell ref="Y3:Y4"/>
    <mergeCell ref="AA42:AA43"/>
    <mergeCell ref="AB42:AB43"/>
    <mergeCell ref="V42:V43"/>
    <mergeCell ref="K3:L3"/>
    <mergeCell ref="B37:B39"/>
  </mergeCells>
  <dataValidations count="4">
    <dataValidation sqref="D11 D50" showDropDown="0" showInputMessage="1" showErrorMessage="1" allowBlank="1" type="list">
      <formula1>"GPS测量C级,GPS测量D级,GPS测量E级,三角（边）"</formula1>
    </dataValidation>
    <dataValidation sqref="D39 D78" showDropDown="0" showInputMessage="1" showErrorMessage="1" allowBlank="1" type="list">
      <formula1>"简单,中等,复杂"</formula1>
    </dataValidation>
    <dataValidation sqref="D5:D10 D12:D15 D44:D49 D51:D54" showDropDown="0" showInputMessage="1" showErrorMessage="1" allowBlank="1" type="list">
      <formula1>"GPS测量C级,GPS测量D级,GPS测量E级,三角（边）一级"</formula1>
    </dataValidation>
    <dataValidation sqref="D16:D38 D55:D77 E5:E15 E44:E54" showDropDown="0" showInputMessage="1" showErrorMessage="1" allowBlank="1" type="list">
      <formula1>"Ⅰ类,Ⅱ类,Ⅲ类,简单,中等,复杂"</formula1>
    </dataValidation>
  </dataValidations>
  <pageMargins left="0.786805555555556" right="0.590277777777778" top="0.786805555555556" bottom="0.590277777777778" header="0.5" footer="0.196527777777778"/>
  <pageSetup orientation="landscape" paperSize="9" horizontalDpi="600"/>
  <headerFooter>
    <oddHeader/>
    <oddFooter>&amp;L&amp;G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AE210"/>
  <sheetViews>
    <sheetView showGridLines="0" showZeros="0" tabSelected="1" view="pageBreakPreview" zoomScale="70" zoomScaleNormal="85" workbookViewId="0">
      <pane ySplit="4" topLeftCell="A5" activePane="bottomLeft" state="frozen"/>
      <selection activeCell="A1" sqref="A1"/>
      <selection pane="bottomLeft" activeCell="K27" sqref="K27"/>
    </sheetView>
  </sheetViews>
  <sheetFormatPr baseColWidth="8" defaultColWidth="9" defaultRowHeight="22.5" customHeight="1"/>
  <cols>
    <col width="5.63636363636364" customWidth="1" style="25" min="1" max="1"/>
    <col width="5.44545454545455" customWidth="1" style="25" min="2" max="2"/>
    <col width="12.1818181818182" customWidth="1" style="25" min="3" max="3"/>
    <col width="8.609090909090909" customWidth="1" style="25" min="4" max="4"/>
    <col width="12.0909090909091" customWidth="1" style="26" min="5" max="5"/>
    <col width="7.45454545454545" customWidth="1" style="25" min="6" max="6"/>
    <col width="9.17272727272727" customWidth="1" style="25" min="7" max="7"/>
    <col width="7.09090909090909" customWidth="1" style="25" min="8" max="8"/>
    <col width="9.881818181818179" customWidth="1" style="25" min="9" max="9"/>
    <col width="5.81818181818182" customWidth="1" style="226" min="10" max="10"/>
    <col width="9.90909090909091" customWidth="1" style="227" min="11" max="11"/>
    <col width="6.09090909090909" customWidth="1" style="25" min="12" max="12"/>
    <col width="5.45454545454545" customWidth="1" style="228" min="13" max="13"/>
    <col width="9.72727272727273" customWidth="1" style="30" min="14" max="14"/>
    <col width="11.2727272727273" customWidth="1" style="30" min="15" max="15"/>
    <col width="8.63636363636364" customWidth="1" style="25" min="16" max="16"/>
    <col width="18.7" customWidth="1" style="31" min="17" max="17"/>
    <col outlineLevel="1" width="10.5090909090909" customWidth="1" style="32" min="18" max="22"/>
    <col width="10.5090909090909" customWidth="1" style="207" min="23" max="23"/>
    <col width="10.5090909090909" customWidth="1" style="32" min="24" max="24"/>
    <col outlineLevel="1" width="10.5090909090909" customWidth="1" style="34" min="25" max="29"/>
    <col width="10.5090909090909" customWidth="1" style="208" min="30" max="30"/>
    <col width="10.5090909090909" customWidth="1" style="34" min="31" max="31"/>
    <col width="9" customWidth="1" style="34" min="32" max="16384"/>
  </cols>
  <sheetData>
    <row r="1" ht="36" customHeight="1" s="186">
      <c r="A1" s="36" t="inlineStr">
        <is>
          <t>附表2 勘察费用测算表</t>
        </is>
      </c>
    </row>
    <row r="2" ht="17.5" customHeight="1" s="186">
      <c r="A2" s="37" t="inlineStr">
        <is>
          <t>工程名称：XX隧道</t>
        </is>
      </c>
      <c r="B2" s="38" t="n"/>
      <c r="C2" s="38" t="n"/>
      <c r="D2" s="38" t="n"/>
      <c r="E2" s="38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70" t="inlineStr">
        <is>
          <t>注：勘察费用测量表按照单体编制，每个单体一张表</t>
        </is>
      </c>
    </row>
    <row r="3" s="186">
      <c r="A3" s="40" t="inlineStr">
        <is>
          <t>序号</t>
        </is>
      </c>
      <c r="B3" s="41" t="inlineStr">
        <is>
          <t>工作任务</t>
        </is>
      </c>
      <c r="C3" s="195" t="n"/>
      <c r="D3" s="195" t="n"/>
      <c r="E3" s="195" t="n"/>
      <c r="F3" s="195" t="n"/>
      <c r="G3" s="196" t="n"/>
      <c r="H3" s="40" t="inlineStr">
        <is>
          <t>实物工作费（元）</t>
        </is>
      </c>
      <c r="I3" s="195" t="n"/>
      <c r="J3" s="195" t="n"/>
      <c r="K3" s="196" t="n"/>
      <c r="L3" s="40" t="inlineStr">
        <is>
          <t>技术工作费（元）</t>
        </is>
      </c>
      <c r="M3" s="195" t="n"/>
      <c r="N3" s="196" t="n"/>
      <c r="O3" s="210" t="inlineStr">
        <is>
          <t>金额合计</t>
        </is>
      </c>
      <c r="P3" s="40" t="inlineStr">
        <is>
          <t>收费标准里对应条款</t>
        </is>
      </c>
      <c r="Q3" s="71" t="inlineStr">
        <is>
          <t>系数及费用来源
说明</t>
        </is>
      </c>
      <c r="R3" s="72" t="inlineStr">
        <is>
          <t>专业审核</t>
        </is>
      </c>
      <c r="S3" s="195" t="n"/>
      <c r="T3" s="195" t="n"/>
      <c r="U3" s="195" t="n"/>
      <c r="V3" s="195" t="n"/>
      <c r="W3" s="195" t="n"/>
      <c r="X3" s="196" t="n"/>
      <c r="Y3" s="190" t="inlineStr">
        <is>
          <t>造价审核</t>
        </is>
      </c>
      <c r="Z3" s="195" t="n"/>
      <c r="AA3" s="195" t="n"/>
      <c r="AB3" s="195" t="n"/>
      <c r="AC3" s="195" t="n"/>
      <c r="AD3" s="195" t="n"/>
      <c r="AE3" s="196" t="n"/>
    </row>
    <row r="4" ht="37" customHeight="1" s="186">
      <c r="A4" s="197" t="n"/>
      <c r="B4" s="40" t="inlineStr">
        <is>
          <t>项目</t>
        </is>
      </c>
      <c r="C4" s="196" t="n"/>
      <c r="D4" s="40" t="inlineStr">
        <is>
          <t>内容</t>
        </is>
      </c>
      <c r="E4" s="42" t="inlineStr">
        <is>
          <t>类别</t>
        </is>
      </c>
      <c r="F4" s="40" t="inlineStr">
        <is>
          <t>级别</t>
        </is>
      </c>
      <c r="G4" s="40" t="inlineStr">
        <is>
          <t>单位</t>
        </is>
      </c>
      <c r="H4" s="40" t="inlineStr">
        <is>
          <t>工程量</t>
        </is>
      </c>
      <c r="I4" s="211" t="inlineStr">
        <is>
          <t>基价（元）</t>
        </is>
      </c>
      <c r="J4" s="229" t="inlineStr">
        <is>
          <t>调整系数</t>
        </is>
      </c>
      <c r="K4" s="230" t="inlineStr">
        <is>
          <t>小计</t>
        </is>
      </c>
      <c r="L4" s="40" t="inlineStr">
        <is>
          <t>类别</t>
        </is>
      </c>
      <c r="M4" s="230" t="inlineStr">
        <is>
          <t>系数</t>
        </is>
      </c>
      <c r="N4" s="40" t="inlineStr">
        <is>
          <t>小计</t>
        </is>
      </c>
      <c r="O4" s="210" t="inlineStr">
        <is>
          <t>（元）</t>
        </is>
      </c>
      <c r="P4" s="197" t="n"/>
      <c r="Q4" s="197" t="n"/>
      <c r="R4" s="74" t="inlineStr">
        <is>
          <t>工程量
增减</t>
        </is>
      </c>
      <c r="S4" s="74" t="inlineStr">
        <is>
          <t>审核认定数量</t>
        </is>
      </c>
      <c r="T4" s="74" t="inlineStr">
        <is>
          <t>基价</t>
        </is>
      </c>
      <c r="U4" s="74" t="inlineStr">
        <is>
          <t>实物工作系数</t>
        </is>
      </c>
      <c r="V4" s="74" t="inlineStr">
        <is>
          <t>技术工作系数</t>
        </is>
      </c>
      <c r="W4" s="231" t="inlineStr">
        <is>
          <t>审核总价（元）</t>
        </is>
      </c>
      <c r="X4" s="74" t="inlineStr">
        <is>
          <t>审减说明</t>
        </is>
      </c>
      <c r="Y4" s="84" t="inlineStr">
        <is>
          <t>工程量
增减</t>
        </is>
      </c>
      <c r="Z4" s="84" t="inlineStr">
        <is>
          <t>审核认定数量</t>
        </is>
      </c>
      <c r="AA4" s="84" t="inlineStr">
        <is>
          <t>基价</t>
        </is>
      </c>
      <c r="AB4" s="84" t="inlineStr">
        <is>
          <t>实物工作系数</t>
        </is>
      </c>
      <c r="AC4" s="84" t="inlineStr">
        <is>
          <t>技术工作系数</t>
        </is>
      </c>
      <c r="AD4" s="232" t="inlineStr">
        <is>
          <t>审核总价（元）</t>
        </is>
      </c>
      <c r="AE4" s="84" t="inlineStr">
        <is>
          <t>审减说明</t>
        </is>
      </c>
    </row>
    <row r="5" ht="26" customHeight="1" s="186">
      <c r="A5" s="43" t="n">
        <v>1</v>
      </c>
      <c r="B5" s="44" t="inlineStr">
        <is>
          <t>工程测量</t>
        </is>
      </c>
      <c r="C5" s="44" t="inlineStr">
        <is>
          <t>定点测量</t>
        </is>
      </c>
      <c r="D5" s="43" t="n"/>
      <c r="E5" s="45" t="n"/>
      <c r="F5" s="43" t="n"/>
      <c r="G5" s="43" t="inlineStr">
        <is>
          <t>组日</t>
        </is>
      </c>
      <c r="H5" s="212" t="n"/>
      <c r="I5" s="233" t="n">
        <v>1200</v>
      </c>
      <c r="J5" s="234" t="n"/>
      <c r="K5" s="234">
        <f>I5*H5*J5</f>
        <v/>
      </c>
      <c r="L5" s="43" t="inlineStr">
        <is>
          <t>甲级</t>
        </is>
      </c>
      <c r="M5" s="216" t="n"/>
      <c r="N5" s="234">
        <f>K5*M5</f>
        <v/>
      </c>
      <c r="O5" s="234">
        <f>K5+N5</f>
        <v/>
      </c>
      <c r="P5" s="212" t="inlineStr">
        <is>
          <t>表2.2-3</t>
        </is>
      </c>
      <c r="Q5" s="76" t="n"/>
      <c r="R5" s="77" t="n"/>
      <c r="S5" s="72" t="n"/>
      <c r="T5" s="72" t="n"/>
      <c r="U5" s="72" t="n"/>
      <c r="V5" s="72" t="n"/>
      <c r="W5" s="235" t="n"/>
      <c r="X5" s="72" t="n"/>
      <c r="Y5" s="190" t="n"/>
      <c r="Z5" s="190" t="n"/>
      <c r="AA5" s="190" t="n"/>
      <c r="AB5" s="190" t="n"/>
      <c r="AC5" s="190" t="n"/>
      <c r="AD5" s="236" t="n"/>
      <c r="AE5" s="190" t="n"/>
    </row>
    <row r="6" s="186">
      <c r="A6" s="47" t="n">
        <v>2</v>
      </c>
      <c r="B6" s="48" t="inlineStr">
        <is>
          <t>岩土
工程
勘察（工程地质测绘）</t>
        </is>
      </c>
      <c r="C6" s="48" t="inlineStr">
        <is>
          <t>工程地质测绘</t>
        </is>
      </c>
      <c r="D6" s="48" t="inlineStr">
        <is>
          <t>成图比例</t>
        </is>
      </c>
      <c r="E6" s="49" t="inlineStr">
        <is>
          <t>1:500</t>
        </is>
      </c>
      <c r="F6" s="43" t="inlineStr">
        <is>
          <t>复杂</t>
        </is>
      </c>
      <c r="G6" s="43" t="inlineStr">
        <is>
          <t>km2</t>
        </is>
      </c>
      <c r="H6" s="212" t="n"/>
      <c r="I6" s="233">
        <f>VLOOKUP(F6,{"简单","8033";"中等","11475";"复杂","17213"},2,0)</f>
        <v/>
      </c>
      <c r="J6" s="234" t="n"/>
      <c r="K6" s="237">
        <f>I6*H6*J6</f>
        <v/>
      </c>
      <c r="L6" s="43" t="inlineStr">
        <is>
          <t>甲级</t>
        </is>
      </c>
      <c r="M6" s="216">
        <f>VLOOKUP(L6,{"甲级","1.2";"乙级","1.0";"丙级","0.8"},2,0)</f>
        <v/>
      </c>
      <c r="N6" s="238">
        <f>K6*M6</f>
        <v/>
      </c>
      <c r="O6" s="238">
        <f>K6+N6</f>
        <v/>
      </c>
      <c r="P6" s="212" t="inlineStr">
        <is>
          <t>表3.2-1、表3.2-2</t>
        </is>
      </c>
      <c r="Q6" s="76" t="n"/>
      <c r="R6" s="77" t="n"/>
      <c r="S6" s="72" t="n"/>
      <c r="T6" s="72" t="n"/>
      <c r="U6" s="72" t="n"/>
      <c r="V6" s="72" t="n"/>
      <c r="W6" s="235" t="n"/>
      <c r="X6" s="72" t="n"/>
      <c r="Y6" s="190" t="n"/>
      <c r="Z6" s="190" t="n"/>
      <c r="AA6" s="190" t="n"/>
      <c r="AB6" s="190" t="n"/>
      <c r="AC6" s="190" t="n"/>
      <c r="AD6" s="236" t="n"/>
      <c r="AE6" s="190" t="n"/>
    </row>
    <row r="7" s="186">
      <c r="A7" s="43" t="n">
        <v>3</v>
      </c>
      <c r="B7" s="204" t="n"/>
      <c r="C7" s="204" t="n"/>
      <c r="D7" s="204" t="n"/>
      <c r="E7" s="49" t="inlineStr">
        <is>
          <t>1:1000</t>
        </is>
      </c>
      <c r="F7" s="43" t="inlineStr">
        <is>
          <t>复杂</t>
        </is>
      </c>
      <c r="G7" s="43" t="inlineStr">
        <is>
          <t>km2</t>
        </is>
      </c>
      <c r="H7" s="212" t="n"/>
      <c r="I7" s="233">
        <f>VLOOKUP(F7,{"简单","5355";"中等","7650";"复杂","11475"},2,0)</f>
        <v/>
      </c>
      <c r="J7" s="234" t="n"/>
      <c r="K7" s="234">
        <f>I7*H7*J7</f>
        <v/>
      </c>
      <c r="L7" s="43" t="inlineStr">
        <is>
          <t>甲级</t>
        </is>
      </c>
      <c r="M7" s="216">
        <f>VLOOKUP(L7,{"甲级","1.2";"乙级","1.0";"丙级","0.8"},2,0)</f>
        <v/>
      </c>
      <c r="N7" s="234">
        <f>K7*M7</f>
        <v/>
      </c>
      <c r="O7" s="234">
        <f>K7+N7</f>
        <v/>
      </c>
      <c r="P7" s="212" t="inlineStr">
        <is>
          <t>表3.2-1、表3.2-2</t>
        </is>
      </c>
      <c r="Q7" s="76" t="n"/>
      <c r="R7" s="77" t="n"/>
      <c r="S7" s="72" t="n"/>
      <c r="T7" s="72" t="n"/>
      <c r="U7" s="72" t="n"/>
      <c r="V7" s="72" t="n"/>
      <c r="W7" s="235" t="n"/>
      <c r="X7" s="72" t="n"/>
      <c r="Y7" s="190" t="n"/>
      <c r="Z7" s="190" t="n"/>
      <c r="AA7" s="190" t="n"/>
      <c r="AB7" s="190" t="n"/>
      <c r="AC7" s="190" t="n"/>
      <c r="AD7" s="236" t="n"/>
      <c r="AE7" s="190" t="n"/>
    </row>
    <row r="8" s="186">
      <c r="A8" s="47" t="n">
        <v>4</v>
      </c>
      <c r="B8" s="204" t="n"/>
      <c r="C8" s="204" t="n"/>
      <c r="D8" s="204" t="n"/>
      <c r="E8" s="49" t="inlineStr">
        <is>
          <t>1:1000</t>
        </is>
      </c>
      <c r="F8" s="43" t="inlineStr">
        <is>
          <t>中等</t>
        </is>
      </c>
      <c r="G8" s="43" t="inlineStr">
        <is>
          <t>km2</t>
        </is>
      </c>
      <c r="H8" s="212" t="n"/>
      <c r="I8" s="233">
        <f>VLOOKUP(F8,{"简单","5355";"中等","7650";"复杂","11475"},2,0)</f>
        <v/>
      </c>
      <c r="J8" s="234" t="n"/>
      <c r="K8" s="234">
        <f>I8*H8*J8</f>
        <v/>
      </c>
      <c r="L8" s="43" t="inlineStr">
        <is>
          <t>甲级</t>
        </is>
      </c>
      <c r="M8" s="216">
        <f>VLOOKUP(L8,{"甲级","1.2";"乙级","1.0";"丙级","0.8"},2,0)</f>
        <v/>
      </c>
      <c r="N8" s="234">
        <f>K8*M8</f>
        <v/>
      </c>
      <c r="O8" s="234">
        <f>K8+N8</f>
        <v/>
      </c>
      <c r="P8" s="212" t="inlineStr">
        <is>
          <t>表3.2-1、表3.2-2</t>
        </is>
      </c>
      <c r="Q8" s="76" t="n"/>
      <c r="R8" s="77" t="n"/>
      <c r="S8" s="72" t="n"/>
      <c r="T8" s="72" t="n"/>
      <c r="U8" s="72" t="n"/>
      <c r="V8" s="72" t="n"/>
      <c r="W8" s="235" t="n"/>
      <c r="X8" s="72" t="n"/>
      <c r="Y8" s="190" t="n"/>
      <c r="Z8" s="190" t="n"/>
      <c r="AA8" s="190" t="n"/>
      <c r="AB8" s="190" t="n"/>
      <c r="AC8" s="190" t="n"/>
      <c r="AD8" s="236" t="n"/>
      <c r="AE8" s="190" t="n"/>
    </row>
    <row r="9" s="186">
      <c r="A9" s="43" t="n">
        <v>5</v>
      </c>
      <c r="B9" s="204" t="n"/>
      <c r="C9" s="204" t="n"/>
      <c r="D9" s="204" t="n"/>
      <c r="E9" s="49" t="inlineStr">
        <is>
          <t>1:1000</t>
        </is>
      </c>
      <c r="F9" s="43" t="inlineStr">
        <is>
          <t>复杂</t>
        </is>
      </c>
      <c r="G9" s="43" t="inlineStr">
        <is>
          <t>km2</t>
        </is>
      </c>
      <c r="H9" s="212" t="n"/>
      <c r="I9" s="233">
        <f>VLOOKUP(F9,{"简单","5355";"中等","7650";"复杂","11475"},2,0)</f>
        <v/>
      </c>
      <c r="J9" s="234" t="n"/>
      <c r="K9" s="234">
        <f>I9*H9*J9</f>
        <v/>
      </c>
      <c r="L9" s="43" t="inlineStr">
        <is>
          <t>甲级</t>
        </is>
      </c>
      <c r="M9" s="216">
        <f>VLOOKUP(L9,{"甲级","1.2";"乙级","1.0";"丙级","0.8"},2,0)</f>
        <v/>
      </c>
      <c r="N9" s="234">
        <f>K9*M9</f>
        <v/>
      </c>
      <c r="O9" s="234">
        <f>K9+N9</f>
        <v/>
      </c>
      <c r="P9" s="212" t="inlineStr">
        <is>
          <t>表3.2-1、表3.2-2</t>
        </is>
      </c>
      <c r="Q9" s="76" t="n"/>
      <c r="R9" s="77" t="n"/>
      <c r="S9" s="72" t="n"/>
      <c r="T9" s="72" t="n"/>
      <c r="U9" s="72" t="n"/>
      <c r="V9" s="72" t="n"/>
      <c r="W9" s="235" t="n"/>
      <c r="X9" s="72" t="n"/>
      <c r="Y9" s="190" t="n"/>
      <c r="Z9" s="190" t="n"/>
      <c r="AA9" s="190" t="n"/>
      <c r="AB9" s="190" t="n"/>
      <c r="AC9" s="190" t="n"/>
      <c r="AD9" s="236" t="n"/>
      <c r="AE9" s="190" t="n"/>
    </row>
    <row r="10" s="186">
      <c r="A10" s="47" t="n">
        <v>6</v>
      </c>
      <c r="B10" s="204" t="n"/>
      <c r="C10" s="204" t="n"/>
      <c r="D10" s="204" t="n"/>
      <c r="E10" s="49" t="inlineStr">
        <is>
          <t>1:2000</t>
        </is>
      </c>
      <c r="F10" s="43" t="inlineStr">
        <is>
          <t>复杂</t>
        </is>
      </c>
      <c r="G10" s="43" t="inlineStr">
        <is>
          <t>km2</t>
        </is>
      </c>
      <c r="H10" s="212" t="n"/>
      <c r="I10" s="233">
        <f>VLOOKUP(F10,{"简单","3570";"中等","5100";"复杂","7650"},2,0)</f>
        <v/>
      </c>
      <c r="J10" s="234" t="n"/>
      <c r="K10" s="234">
        <f>I10*H10*J10</f>
        <v/>
      </c>
      <c r="L10" s="43" t="inlineStr">
        <is>
          <t>甲级</t>
        </is>
      </c>
      <c r="M10" s="216">
        <f>VLOOKUP(L10,{"甲级","1.2";"乙级","1.0";"丙级","0.8"},2,0)</f>
        <v/>
      </c>
      <c r="N10" s="234">
        <f>K10*M10</f>
        <v/>
      </c>
      <c r="O10" s="234">
        <f>K10+N10</f>
        <v/>
      </c>
      <c r="P10" s="212" t="inlineStr">
        <is>
          <t>表3.2-1、表3.2-2</t>
        </is>
      </c>
      <c r="Q10" s="76" t="n"/>
      <c r="R10" s="77" t="n"/>
      <c r="S10" s="72" t="n"/>
      <c r="T10" s="72" t="n"/>
      <c r="U10" s="72" t="n"/>
      <c r="V10" s="72" t="n"/>
      <c r="W10" s="235" t="n"/>
      <c r="X10" s="72" t="n"/>
      <c r="Y10" s="190" t="n"/>
      <c r="Z10" s="190" t="n"/>
      <c r="AA10" s="190" t="n"/>
      <c r="AB10" s="190" t="n"/>
      <c r="AC10" s="190" t="n"/>
      <c r="AD10" s="236" t="n"/>
      <c r="AE10" s="190" t="n"/>
    </row>
    <row r="11" s="186">
      <c r="A11" s="43" t="n">
        <v>7</v>
      </c>
      <c r="B11" s="204" t="n"/>
      <c r="C11" s="204" t="n"/>
      <c r="D11" s="204" t="n"/>
      <c r="E11" s="49" t="inlineStr">
        <is>
          <t>1:10000</t>
        </is>
      </c>
      <c r="F11" s="43" t="inlineStr">
        <is>
          <t>复杂</t>
        </is>
      </c>
      <c r="G11" s="43" t="inlineStr">
        <is>
          <t>km2</t>
        </is>
      </c>
      <c r="H11" s="212" t="n"/>
      <c r="I11" s="233">
        <f>VLOOKUP(F11,{"简单","536";"中等","765";"复杂","1148"},2,0)</f>
        <v/>
      </c>
      <c r="J11" s="234" t="n"/>
      <c r="K11" s="234">
        <f>I11*H11*J11</f>
        <v/>
      </c>
      <c r="L11" s="43" t="inlineStr">
        <is>
          <t>甲级</t>
        </is>
      </c>
      <c r="M11" s="216">
        <f>VLOOKUP(L11,{"甲级","1.2";"乙级","1.0";"丙级","0.8"},2,0)</f>
        <v/>
      </c>
      <c r="N11" s="234">
        <f>K11*M11</f>
        <v/>
      </c>
      <c r="O11" s="234">
        <f>K11+N11</f>
        <v/>
      </c>
      <c r="P11" s="212" t="inlineStr">
        <is>
          <t>表3.2-1、表3.2-3</t>
        </is>
      </c>
      <c r="Q11" s="76" t="n"/>
      <c r="R11" s="77" t="n"/>
      <c r="S11" s="72" t="n"/>
      <c r="T11" s="72" t="n"/>
      <c r="U11" s="72" t="n"/>
      <c r="V11" s="72" t="n"/>
      <c r="W11" s="235" t="n"/>
      <c r="X11" s="72" t="n"/>
      <c r="Y11" s="190" t="n"/>
      <c r="Z11" s="190" t="n"/>
      <c r="AA11" s="190" t="n"/>
      <c r="AB11" s="190" t="n"/>
      <c r="AC11" s="190" t="n"/>
      <c r="AD11" s="236" t="n"/>
      <c r="AE11" s="190" t="n"/>
    </row>
    <row r="12" s="186">
      <c r="A12" s="47" t="n">
        <v>8</v>
      </c>
      <c r="B12" s="204" t="n"/>
      <c r="C12" s="204" t="n"/>
      <c r="D12" s="204" t="n"/>
      <c r="E12" s="49" t="inlineStr">
        <is>
          <t>1:10000</t>
        </is>
      </c>
      <c r="F12" s="43" t="inlineStr">
        <is>
          <t>中等</t>
        </is>
      </c>
      <c r="G12" s="43" t="inlineStr">
        <is>
          <t>km2</t>
        </is>
      </c>
      <c r="H12" s="212" t="n"/>
      <c r="I12" s="233">
        <f>VLOOKUP(F12,{"简单","536";"中等","765";"复杂","1148"},2,0)</f>
        <v/>
      </c>
      <c r="J12" s="234" t="n"/>
      <c r="K12" s="234">
        <f>I12*H12*J12</f>
        <v/>
      </c>
      <c r="L12" s="43" t="inlineStr">
        <is>
          <t>甲级</t>
        </is>
      </c>
      <c r="M12" s="216">
        <f>VLOOKUP(L12,{"甲级","1.2";"乙级","1.0";"丙级","0.8"},2,0)</f>
        <v/>
      </c>
      <c r="N12" s="234">
        <f>K12*M12</f>
        <v/>
      </c>
      <c r="O12" s="234">
        <f>K12+N12</f>
        <v/>
      </c>
      <c r="P12" s="212" t="inlineStr">
        <is>
          <t>表3.2-1、表3.2-4</t>
        </is>
      </c>
      <c r="Q12" s="76" t="n"/>
      <c r="R12" s="77" t="n"/>
      <c r="S12" s="72" t="n"/>
      <c r="T12" s="72" t="n"/>
      <c r="U12" s="72" t="n"/>
      <c r="V12" s="72" t="n"/>
      <c r="W12" s="235" t="n"/>
      <c r="X12" s="72" t="n"/>
      <c r="Y12" s="190" t="n"/>
      <c r="Z12" s="190" t="n"/>
      <c r="AA12" s="190" t="n"/>
      <c r="AB12" s="190" t="n"/>
      <c r="AC12" s="190" t="n"/>
      <c r="AD12" s="236" t="n"/>
      <c r="AE12" s="190" t="n"/>
    </row>
    <row r="13" s="186">
      <c r="A13" s="43" t="n">
        <v>9</v>
      </c>
      <c r="B13" s="204" t="n"/>
      <c r="C13" s="204" t="n"/>
      <c r="D13" s="204" t="n"/>
      <c r="E13" s="51" t="inlineStr">
        <is>
          <t>1:50000</t>
        </is>
      </c>
      <c r="F13" s="48" t="inlineStr">
        <is>
          <t>中等</t>
        </is>
      </c>
      <c r="G13" s="43" t="inlineStr">
        <is>
          <t>km2</t>
        </is>
      </c>
      <c r="H13" s="239" t="n">
        <v>13</v>
      </c>
      <c r="I13" s="240">
        <f>VLOOKUP(F13,{"简单","134";"中等","191";"复杂","287"},2,0)</f>
        <v/>
      </c>
      <c r="J13" s="234" t="n">
        <v>1</v>
      </c>
      <c r="K13" s="234">
        <f>I13*H13*J13</f>
        <v/>
      </c>
      <c r="L13" s="43" t="inlineStr">
        <is>
          <t>甲级</t>
        </is>
      </c>
      <c r="M13" s="216" t="n">
        <v>1.2</v>
      </c>
      <c r="N13" s="234">
        <f>K13*M13</f>
        <v/>
      </c>
      <c r="O13" s="234">
        <f>H13*J13*I13*(1+M13)</f>
        <v/>
      </c>
      <c r="P13" s="212" t="inlineStr">
        <is>
          <t>表3.2-1、表3.2-2</t>
        </is>
      </c>
      <c r="Q13" s="76" t="n"/>
      <c r="R13" s="77" t="n"/>
      <c r="S13" s="72" t="n"/>
      <c r="T13" s="72" t="n"/>
      <c r="U13" s="72" t="n"/>
      <c r="V13" s="72" t="n"/>
      <c r="W13" s="235" t="n"/>
      <c r="X13" s="72" t="n"/>
      <c r="Y13" s="190" t="n"/>
      <c r="Z13" s="190" t="n"/>
      <c r="AA13" s="190" t="n"/>
      <c r="AB13" s="190" t="n"/>
      <c r="AC13" s="190" t="n"/>
      <c r="AD13" s="236" t="n"/>
      <c r="AE13" s="190" t="n"/>
    </row>
    <row r="14" s="186">
      <c r="A14" s="47" t="n">
        <v>10</v>
      </c>
      <c r="B14" s="43" t="inlineStr">
        <is>
          <t>岩土
工程
勘察（勘探实物）</t>
        </is>
      </c>
      <c r="C14" s="53" t="inlineStr">
        <is>
          <t>钻探</t>
        </is>
      </c>
      <c r="D14" s="53" t="inlineStr">
        <is>
          <t>陆域</t>
        </is>
      </c>
      <c r="E14" s="54" t="inlineStr">
        <is>
          <t>D≤10</t>
        </is>
      </c>
      <c r="F14" s="43" t="inlineStr">
        <is>
          <t>Ⅲ</t>
        </is>
      </c>
      <c r="G14" s="212" t="inlineStr">
        <is>
          <t>m</t>
        </is>
      </c>
      <c r="H14" s="213" t="n"/>
      <c r="I14" s="233">
        <f>VLOOKUP(F14,{"Ⅰ","46";"Ⅱ","71";"Ⅲ","117";"Ⅳ","207";"Ⅴ","301";"Ⅵ","382"},2,0)</f>
        <v/>
      </c>
      <c r="J14" s="234" t="n"/>
      <c r="K14" s="234">
        <f>I14*H14*J14</f>
        <v/>
      </c>
      <c r="L14" s="43" t="inlineStr">
        <is>
          <t>甲级</t>
        </is>
      </c>
      <c r="M14" s="216">
        <f>VLOOKUP(L14,{"甲级","1.2";"乙级","1.0";"丙级","0.8"},2,0)</f>
        <v/>
      </c>
      <c r="N14" s="234">
        <f>K14*M14</f>
        <v/>
      </c>
      <c r="O14" s="234">
        <f>K14+N14</f>
        <v/>
      </c>
      <c r="P14" s="241" t="inlineStr">
        <is>
          <t>表3.3-2、表3.3-5</t>
        </is>
      </c>
      <c r="Q14" s="76" t="n"/>
      <c r="R14" s="77" t="n"/>
      <c r="S14" s="72" t="n"/>
      <c r="T14" s="72" t="n"/>
      <c r="U14" s="72" t="n"/>
      <c r="V14" s="72" t="n"/>
      <c r="W14" s="235" t="n"/>
      <c r="X14" s="72" t="n"/>
      <c r="Y14" s="190" t="n"/>
      <c r="Z14" s="190" t="n"/>
      <c r="AA14" s="190" t="n"/>
      <c r="AB14" s="190" t="n"/>
      <c r="AC14" s="190" t="n"/>
      <c r="AD14" s="236" t="n"/>
      <c r="AE14" s="190" t="n"/>
    </row>
    <row r="15" s="186">
      <c r="A15" s="43" t="n">
        <v>11</v>
      </c>
      <c r="B15" s="204" t="n"/>
      <c r="C15" s="204" t="n"/>
      <c r="D15" s="204" t="n"/>
      <c r="E15" s="54" t="inlineStr">
        <is>
          <t>D≤10</t>
        </is>
      </c>
      <c r="F15" s="43" t="inlineStr">
        <is>
          <t>Ⅳ</t>
        </is>
      </c>
      <c r="G15" s="212" t="inlineStr">
        <is>
          <t>m</t>
        </is>
      </c>
      <c r="H15" s="213" t="n"/>
      <c r="I15" s="233">
        <f>VLOOKUP(F15,{"Ⅰ","46";"Ⅱ","71";"Ⅲ","117";"Ⅳ","207";"Ⅴ","301";"Ⅵ","382"},2,0)</f>
        <v/>
      </c>
      <c r="J15" s="234" t="n"/>
      <c r="K15" s="234">
        <f>I15*H15*J15</f>
        <v/>
      </c>
      <c r="L15" s="43" t="inlineStr">
        <is>
          <t>甲级</t>
        </is>
      </c>
      <c r="M15" s="216">
        <f>VLOOKUP(L15,{"甲级","1.2";"乙级","1.0";"丙级","0.8"},2,0)</f>
        <v/>
      </c>
      <c r="N15" s="234">
        <f>K15*M15</f>
        <v/>
      </c>
      <c r="O15" s="234">
        <f>K15+N15</f>
        <v/>
      </c>
      <c r="P15" s="241" t="inlineStr">
        <is>
          <t>表3.3-2、表3.3-5</t>
        </is>
      </c>
      <c r="Q15" s="76" t="n"/>
      <c r="R15" s="77" t="n"/>
      <c r="S15" s="72" t="n"/>
      <c r="T15" s="72" t="n"/>
      <c r="U15" s="72" t="n"/>
      <c r="V15" s="72" t="n"/>
      <c r="W15" s="235" t="n"/>
      <c r="X15" s="72" t="n"/>
      <c r="Y15" s="190" t="n"/>
      <c r="Z15" s="190" t="n"/>
      <c r="AA15" s="190" t="n"/>
      <c r="AB15" s="190" t="n"/>
      <c r="AC15" s="190" t="n"/>
      <c r="AD15" s="236" t="n"/>
      <c r="AE15" s="190" t="n"/>
    </row>
    <row r="16" ht="21" customHeight="1" s="186">
      <c r="A16" s="47" t="n">
        <v>12</v>
      </c>
      <c r="B16" s="204" t="n"/>
      <c r="C16" s="204" t="n"/>
      <c r="D16" s="204" t="n"/>
      <c r="E16" s="54" t="inlineStr">
        <is>
          <t>10＜D≤20</t>
        </is>
      </c>
      <c r="F16" s="43" t="inlineStr">
        <is>
          <t>Ⅲ</t>
        </is>
      </c>
      <c r="G16" s="212" t="inlineStr">
        <is>
          <t>m</t>
        </is>
      </c>
      <c r="H16" s="56" t="n"/>
      <c r="I16" s="233">
        <f>VLOOKUP(F16,{"Ⅰ","58";"Ⅱ","89";"Ⅲ","147";"Ⅳ","259";"Ⅴ","377";"Ⅵ","477"},2,0)</f>
        <v/>
      </c>
      <c r="J16" s="234" t="n"/>
      <c r="K16" s="234">
        <f>I16*H16*J16</f>
        <v/>
      </c>
      <c r="L16" s="43" t="inlineStr">
        <is>
          <t>甲级</t>
        </is>
      </c>
      <c r="M16" s="216">
        <f>VLOOKUP(L16,{"甲级","1.2";"乙级","1.0";"丙级","0.8"},2,0)</f>
        <v/>
      </c>
      <c r="N16" s="234">
        <f>K16*M16</f>
        <v/>
      </c>
      <c r="O16" s="234">
        <f>K16+N16</f>
        <v/>
      </c>
      <c r="P16" s="241" t="inlineStr">
        <is>
          <t>表3.3-2、表3.3-5</t>
        </is>
      </c>
      <c r="Q16" s="76" t="n"/>
      <c r="R16" s="77" t="n"/>
      <c r="S16" s="72" t="n"/>
      <c r="T16" s="72" t="n"/>
      <c r="U16" s="72" t="n"/>
      <c r="V16" s="72" t="n"/>
      <c r="W16" s="235" t="n"/>
      <c r="X16" s="72" t="n"/>
      <c r="Y16" s="190" t="n"/>
      <c r="Z16" s="190" t="n"/>
      <c r="AA16" s="190" t="n"/>
      <c r="AB16" s="190" t="n"/>
      <c r="AC16" s="190" t="n"/>
      <c r="AD16" s="236" t="n"/>
      <c r="AE16" s="190" t="n"/>
    </row>
    <row r="17" ht="21" customHeight="1" s="186">
      <c r="A17" s="43" t="n">
        <v>13</v>
      </c>
      <c r="B17" s="204" t="n"/>
      <c r="C17" s="204" t="n"/>
      <c r="D17" s="204" t="n"/>
      <c r="E17" s="54" t="inlineStr">
        <is>
          <t>10＜D≤20</t>
        </is>
      </c>
      <c r="F17" s="43" t="inlineStr">
        <is>
          <t>Ⅳ</t>
        </is>
      </c>
      <c r="G17" s="212" t="inlineStr">
        <is>
          <t>m</t>
        </is>
      </c>
      <c r="H17" s="56" t="n"/>
      <c r="I17" s="233">
        <f>VLOOKUP(F17,{"Ⅰ","58";"Ⅱ","89";"Ⅲ","147";"Ⅳ","259";"Ⅴ","377";"Ⅵ","477"},2,0)</f>
        <v/>
      </c>
      <c r="J17" s="234" t="n"/>
      <c r="K17" s="234">
        <f>I17*H17*J17</f>
        <v/>
      </c>
      <c r="L17" s="43" t="inlineStr">
        <is>
          <t>甲级</t>
        </is>
      </c>
      <c r="M17" s="216">
        <f>VLOOKUP(L17,{"甲级","1.2";"乙级","1.0";"丙级","0.8"},2,0)</f>
        <v/>
      </c>
      <c r="N17" s="234">
        <f>K17*M17</f>
        <v/>
      </c>
      <c r="O17" s="234">
        <f>K17+N17</f>
        <v/>
      </c>
      <c r="P17" s="241" t="inlineStr">
        <is>
          <t>表3.3-2、表3.3-5</t>
        </is>
      </c>
      <c r="Q17" s="76" t="n"/>
      <c r="R17" s="77" t="n"/>
      <c r="S17" s="72" t="n"/>
      <c r="T17" s="72" t="n"/>
      <c r="U17" s="72" t="n"/>
      <c r="V17" s="72" t="n"/>
      <c r="W17" s="235" t="n"/>
      <c r="X17" s="72" t="n"/>
      <c r="Y17" s="190" t="n"/>
      <c r="Z17" s="190" t="n"/>
      <c r="AA17" s="190" t="n"/>
      <c r="AB17" s="190" t="n"/>
      <c r="AC17" s="190" t="n"/>
      <c r="AD17" s="236" t="n"/>
      <c r="AE17" s="190" t="n"/>
    </row>
    <row r="18" s="186">
      <c r="A18" s="47" t="n">
        <v>14</v>
      </c>
      <c r="B18" s="204" t="n"/>
      <c r="C18" s="204" t="n"/>
      <c r="D18" s="204" t="n"/>
      <c r="E18" s="54" t="inlineStr">
        <is>
          <t>20＜D≤30</t>
        </is>
      </c>
      <c r="F18" s="43" t="inlineStr">
        <is>
          <t>Ⅲ</t>
        </is>
      </c>
      <c r="G18" s="212" t="inlineStr">
        <is>
          <t>m</t>
        </is>
      </c>
      <c r="H18" s="56" t="n"/>
      <c r="I18" s="233">
        <f>VLOOKUP(F18,{"Ⅰ","69";"Ⅱ","107";"Ⅲ","176";"Ⅳ","311";"Ⅴ","452";"Ⅵ","573"},2,0)</f>
        <v/>
      </c>
      <c r="J18" s="234" t="n"/>
      <c r="K18" s="234">
        <f>I18*H18*J18</f>
        <v/>
      </c>
      <c r="L18" s="43" t="inlineStr">
        <is>
          <t>甲级</t>
        </is>
      </c>
      <c r="M18" s="216">
        <f>VLOOKUP(L18,{"甲级","1.2";"乙级","1.0";"丙级","0.8"},2,0)</f>
        <v/>
      </c>
      <c r="N18" s="234">
        <f>K18*M18</f>
        <v/>
      </c>
      <c r="O18" s="234">
        <f>K18+N18</f>
        <v/>
      </c>
      <c r="P18" s="241" t="inlineStr">
        <is>
          <t>表3.3-2、表3.3-5</t>
        </is>
      </c>
      <c r="Q18" s="76" t="n"/>
      <c r="R18" s="77" t="n"/>
      <c r="S18" s="72" t="n"/>
      <c r="T18" s="72" t="n"/>
      <c r="U18" s="72" t="n"/>
      <c r="V18" s="72" t="n"/>
      <c r="W18" s="235" t="n"/>
      <c r="X18" s="72" t="n"/>
      <c r="Y18" s="190" t="n"/>
      <c r="Z18" s="190" t="n"/>
      <c r="AA18" s="190" t="n"/>
      <c r="AB18" s="190" t="n"/>
      <c r="AC18" s="190" t="n"/>
      <c r="AD18" s="236" t="n"/>
      <c r="AE18" s="190" t="n"/>
    </row>
    <row r="19" s="186">
      <c r="A19" s="43" t="n">
        <v>15</v>
      </c>
      <c r="B19" s="204" t="n"/>
      <c r="C19" s="204" t="n"/>
      <c r="D19" s="204" t="n"/>
      <c r="E19" s="54" t="inlineStr">
        <is>
          <t>20＜D≤30</t>
        </is>
      </c>
      <c r="F19" s="43" t="inlineStr">
        <is>
          <t>Ⅳ</t>
        </is>
      </c>
      <c r="G19" s="212" t="inlineStr">
        <is>
          <t>m</t>
        </is>
      </c>
      <c r="H19" s="56" t="n"/>
      <c r="I19" s="233">
        <f>VLOOKUP(F19,{"Ⅰ","69";"Ⅱ","107";"Ⅲ","176";"Ⅳ","311";"Ⅴ","452";"Ⅵ","573"},2,0)</f>
        <v/>
      </c>
      <c r="J19" s="234" t="n"/>
      <c r="K19" s="234">
        <f>I19*H19*J19</f>
        <v/>
      </c>
      <c r="L19" s="43" t="inlineStr">
        <is>
          <t>甲级</t>
        </is>
      </c>
      <c r="M19" s="216">
        <f>VLOOKUP(L19,{"甲级","1.2";"乙级","1.0";"丙级","0.8"},2,0)</f>
        <v/>
      </c>
      <c r="N19" s="234">
        <f>K19*M19</f>
        <v/>
      </c>
      <c r="O19" s="234">
        <f>K19+N19</f>
        <v/>
      </c>
      <c r="P19" s="241" t="inlineStr">
        <is>
          <t>表3.3-2、表3.3-5</t>
        </is>
      </c>
      <c r="Q19" s="76" t="n"/>
      <c r="R19" s="77" t="n"/>
      <c r="S19" s="72" t="n"/>
      <c r="T19" s="72" t="n"/>
      <c r="U19" s="72" t="n"/>
      <c r="V19" s="72" t="n"/>
      <c r="W19" s="235" t="n"/>
      <c r="X19" s="72" t="n"/>
      <c r="Y19" s="190" t="n"/>
      <c r="Z19" s="190" t="n"/>
      <c r="AA19" s="190" t="n"/>
      <c r="AB19" s="190" t="n"/>
      <c r="AC19" s="190" t="n"/>
      <c r="AD19" s="236" t="n"/>
      <c r="AE19" s="190" t="n"/>
    </row>
    <row r="20" s="186">
      <c r="A20" s="47" t="n">
        <v>16</v>
      </c>
      <c r="B20" s="204" t="n"/>
      <c r="C20" s="204" t="n"/>
      <c r="D20" s="204" t="n"/>
      <c r="E20" s="54" t="inlineStr">
        <is>
          <t>20＜D≤30</t>
        </is>
      </c>
      <c r="F20" s="43" t="inlineStr">
        <is>
          <t>Ⅴ</t>
        </is>
      </c>
      <c r="G20" s="212" t="inlineStr">
        <is>
          <t>m</t>
        </is>
      </c>
      <c r="H20" s="56" t="n"/>
      <c r="I20" s="233">
        <f>VLOOKUP(F20,{"Ⅰ","69";"Ⅱ","107";"Ⅲ","176";"Ⅳ","311";"Ⅴ","452";"Ⅵ","573"},2,0)</f>
        <v/>
      </c>
      <c r="J20" s="234" t="n"/>
      <c r="K20" s="234">
        <f>I20*H20*J20</f>
        <v/>
      </c>
      <c r="L20" s="43" t="inlineStr">
        <is>
          <t>甲级</t>
        </is>
      </c>
      <c r="M20" s="216">
        <f>VLOOKUP(L20,{"甲级","1.2";"乙级","1.0";"丙级","0.8"},2,0)</f>
        <v/>
      </c>
      <c r="N20" s="234">
        <f>K20*M20</f>
        <v/>
      </c>
      <c r="O20" s="234">
        <f>K20+N20</f>
        <v/>
      </c>
      <c r="P20" s="241" t="inlineStr">
        <is>
          <t>表3.3-2、表3.3-5</t>
        </is>
      </c>
      <c r="Q20" s="76" t="n"/>
      <c r="R20" s="77" t="n"/>
      <c r="S20" s="72" t="n"/>
      <c r="T20" s="72" t="n"/>
      <c r="U20" s="72" t="n"/>
      <c r="V20" s="72" t="n"/>
      <c r="W20" s="235" t="n"/>
      <c r="X20" s="72" t="n"/>
      <c r="Y20" s="190" t="n"/>
      <c r="Z20" s="190" t="n"/>
      <c r="AA20" s="190" t="n"/>
      <c r="AB20" s="190" t="n"/>
      <c r="AC20" s="190" t="n"/>
      <c r="AD20" s="236" t="n"/>
      <c r="AE20" s="190" t="n"/>
    </row>
    <row r="21" s="186">
      <c r="A21" s="43" t="n">
        <v>17</v>
      </c>
      <c r="B21" s="204" t="n"/>
      <c r="C21" s="204" t="n"/>
      <c r="D21" s="204" t="n"/>
      <c r="E21" s="54" t="inlineStr">
        <is>
          <t>30＜D≤40</t>
        </is>
      </c>
      <c r="F21" s="43" t="inlineStr">
        <is>
          <t>Ⅲ</t>
        </is>
      </c>
      <c r="G21" s="212" t="inlineStr">
        <is>
          <t>m</t>
        </is>
      </c>
      <c r="H21" s="56" t="n"/>
      <c r="I21" s="233">
        <f>VLOOKUP(F21,{"Ⅰ","82";"Ⅱ","127";"Ⅲ","209";"Ⅳ","368";"Ⅴ","536";"Ⅵ","680"},2,0)</f>
        <v/>
      </c>
      <c r="J21" s="234" t="n"/>
      <c r="K21" s="234">
        <f>I21*H21*J21</f>
        <v/>
      </c>
      <c r="L21" s="43" t="inlineStr">
        <is>
          <t>甲级</t>
        </is>
      </c>
      <c r="M21" s="216">
        <f>VLOOKUP(L21,{"甲级","1.2";"乙级","1.0";"丙级","0.8"},2,0)</f>
        <v/>
      </c>
      <c r="N21" s="234">
        <f>K21*M21</f>
        <v/>
      </c>
      <c r="O21" s="234">
        <f>K21+N21</f>
        <v/>
      </c>
      <c r="P21" s="241" t="inlineStr">
        <is>
          <t>表3.3-2、表3.3-5</t>
        </is>
      </c>
      <c r="Q21" s="76" t="n"/>
      <c r="R21" s="77" t="n"/>
      <c r="S21" s="72" t="n"/>
      <c r="T21" s="72" t="n"/>
      <c r="U21" s="72" t="n"/>
      <c r="V21" s="72" t="n"/>
      <c r="W21" s="235" t="n"/>
      <c r="X21" s="72" t="n"/>
      <c r="Y21" s="190" t="n"/>
      <c r="Z21" s="190" t="n"/>
      <c r="AA21" s="190" t="n"/>
      <c r="AB21" s="190" t="n"/>
      <c r="AC21" s="190" t="n"/>
      <c r="AD21" s="236" t="n"/>
      <c r="AE21" s="190" t="n"/>
    </row>
    <row r="22" s="186">
      <c r="A22" s="47" t="n">
        <v>18</v>
      </c>
      <c r="B22" s="204" t="n"/>
      <c r="C22" s="204" t="n"/>
      <c r="D22" s="204" t="n"/>
      <c r="E22" s="54" t="inlineStr">
        <is>
          <t>30＜D≤40</t>
        </is>
      </c>
      <c r="F22" s="43" t="inlineStr">
        <is>
          <t>Ⅳ</t>
        </is>
      </c>
      <c r="G22" s="212" t="inlineStr">
        <is>
          <t>m</t>
        </is>
      </c>
      <c r="H22" s="56" t="n"/>
      <c r="I22" s="233">
        <f>VLOOKUP(F22,{"Ⅰ","82";"Ⅱ","127";"Ⅲ","209";"Ⅳ","368";"Ⅴ","536";"Ⅵ","680"},2,0)</f>
        <v/>
      </c>
      <c r="J22" s="234" t="n"/>
      <c r="K22" s="234">
        <f>I22*H22*J22</f>
        <v/>
      </c>
      <c r="L22" s="43" t="inlineStr">
        <is>
          <t>甲级</t>
        </is>
      </c>
      <c r="M22" s="216">
        <f>VLOOKUP(L22,{"甲级","1.2";"乙级","1.0";"丙级","0.8"},2,0)</f>
        <v/>
      </c>
      <c r="N22" s="234">
        <f>K22*M22</f>
        <v/>
      </c>
      <c r="O22" s="234">
        <f>K22+N22</f>
        <v/>
      </c>
      <c r="P22" s="241" t="inlineStr">
        <is>
          <t>表3.3-2、表3.3-5</t>
        </is>
      </c>
      <c r="Q22" s="76" t="n"/>
      <c r="R22" s="77" t="n"/>
      <c r="S22" s="72" t="n"/>
      <c r="T22" s="72" t="n"/>
      <c r="U22" s="72" t="n"/>
      <c r="V22" s="72" t="n"/>
      <c r="W22" s="235" t="n"/>
      <c r="X22" s="72" t="n"/>
      <c r="Y22" s="190" t="n"/>
      <c r="Z22" s="190" t="n"/>
      <c r="AA22" s="190" t="n"/>
      <c r="AB22" s="190" t="n"/>
      <c r="AC22" s="190" t="n"/>
      <c r="AD22" s="236" t="n"/>
      <c r="AE22" s="190" t="n"/>
    </row>
    <row r="23" s="186">
      <c r="A23" s="43" t="n">
        <v>19</v>
      </c>
      <c r="B23" s="204" t="n"/>
      <c r="C23" s="204" t="n"/>
      <c r="D23" s="204" t="n"/>
      <c r="E23" s="54" t="inlineStr">
        <is>
          <t>30＜D≤40</t>
        </is>
      </c>
      <c r="F23" s="43" t="inlineStr">
        <is>
          <t>Ⅴ</t>
        </is>
      </c>
      <c r="G23" s="212" t="inlineStr">
        <is>
          <t>m</t>
        </is>
      </c>
      <c r="H23" s="56" t="n"/>
      <c r="I23" s="233">
        <f>VLOOKUP(F23,{"Ⅰ","82";"Ⅱ","127";"Ⅲ","209";"Ⅳ","368";"Ⅴ","536";"Ⅵ","680"},2,0)</f>
        <v/>
      </c>
      <c r="J23" s="234" t="n"/>
      <c r="K23" s="234">
        <f>I23*H23*J23</f>
        <v/>
      </c>
      <c r="L23" s="43" t="inlineStr">
        <is>
          <t>甲级</t>
        </is>
      </c>
      <c r="M23" s="216">
        <f>VLOOKUP(L23,{"甲级","1.2";"乙级","1.0";"丙级","0.8"},2,0)</f>
        <v/>
      </c>
      <c r="N23" s="234">
        <f>K23*M23</f>
        <v/>
      </c>
      <c r="O23" s="234">
        <f>K23+N23</f>
        <v/>
      </c>
      <c r="P23" s="241" t="inlineStr">
        <is>
          <t>表3.3-2、表3.3-5</t>
        </is>
      </c>
      <c r="Q23" s="76" t="n"/>
      <c r="R23" s="77" t="n"/>
      <c r="S23" s="72" t="n"/>
      <c r="T23" s="72" t="n"/>
      <c r="U23" s="72" t="n"/>
      <c r="V23" s="72" t="n"/>
      <c r="W23" s="235" t="n"/>
      <c r="X23" s="72" t="n"/>
      <c r="Y23" s="190" t="n"/>
      <c r="Z23" s="190" t="n"/>
      <c r="AA23" s="190" t="n"/>
      <c r="AB23" s="190" t="n"/>
      <c r="AC23" s="190" t="n"/>
      <c r="AD23" s="236" t="n"/>
      <c r="AE23" s="190" t="n"/>
    </row>
    <row r="24" s="186">
      <c r="A24" s="47" t="n">
        <v>20</v>
      </c>
      <c r="B24" s="204" t="n"/>
      <c r="C24" s="204" t="n"/>
      <c r="D24" s="204" t="n"/>
      <c r="E24" s="54" t="inlineStr">
        <is>
          <t>40＜D≤50</t>
        </is>
      </c>
      <c r="F24" s="43" t="inlineStr">
        <is>
          <t>Ⅳ</t>
        </is>
      </c>
      <c r="G24" s="212" t="inlineStr">
        <is>
          <t>m</t>
        </is>
      </c>
      <c r="H24" s="56" t="n"/>
      <c r="I24" s="233">
        <f>VLOOKUP(F24,{"Ⅰ","98";"Ⅱ","151";"Ⅲ","249";"Ⅳ","439";"Ⅴ","639";"Ⅵ","809"},2,0)</f>
        <v/>
      </c>
      <c r="J24" s="234" t="n"/>
      <c r="K24" s="234">
        <f>I24*H24*J24</f>
        <v/>
      </c>
      <c r="L24" s="43" t="inlineStr">
        <is>
          <t>甲级</t>
        </is>
      </c>
      <c r="M24" s="216">
        <f>VLOOKUP(L24,{"甲级","1.2";"乙级","1.0";"丙级","0.8"},2,0)</f>
        <v/>
      </c>
      <c r="N24" s="234">
        <f>K24*M24</f>
        <v/>
      </c>
      <c r="O24" s="234">
        <f>K24+N24</f>
        <v/>
      </c>
      <c r="P24" s="241" t="inlineStr">
        <is>
          <t>表3.3-2、表3.3-5</t>
        </is>
      </c>
      <c r="Q24" s="76" t="n"/>
      <c r="R24" s="77" t="n"/>
      <c r="S24" s="72" t="n"/>
      <c r="T24" s="72" t="n"/>
      <c r="U24" s="72" t="n"/>
      <c r="V24" s="72" t="n"/>
      <c r="W24" s="235" t="n"/>
      <c r="X24" s="72" t="n"/>
      <c r="Y24" s="190" t="n"/>
      <c r="Z24" s="190" t="n"/>
      <c r="AA24" s="190" t="n"/>
      <c r="AB24" s="190" t="n"/>
      <c r="AC24" s="190" t="n"/>
      <c r="AD24" s="236" t="n"/>
      <c r="AE24" s="190" t="n"/>
    </row>
    <row r="25" s="186">
      <c r="A25" s="43" t="n">
        <v>21</v>
      </c>
      <c r="B25" s="204" t="n"/>
      <c r="C25" s="204" t="n"/>
      <c r="D25" s="204" t="n"/>
      <c r="E25" s="54" t="inlineStr">
        <is>
          <t>40＜D≤50</t>
        </is>
      </c>
      <c r="F25" s="43" t="inlineStr">
        <is>
          <t>Ⅴ</t>
        </is>
      </c>
      <c r="G25" s="212" t="inlineStr">
        <is>
          <t>m</t>
        </is>
      </c>
      <c r="H25" s="56" t="n"/>
      <c r="I25" s="233">
        <f>VLOOKUP(F25,{"Ⅰ","98";"Ⅱ","151";"Ⅲ","249";"Ⅳ","439";"Ⅴ","639";"Ⅵ","809"},2,0)</f>
        <v/>
      </c>
      <c r="J25" s="234" t="n"/>
      <c r="K25" s="234">
        <f>I25*H25*J25</f>
        <v/>
      </c>
      <c r="L25" s="43" t="inlineStr">
        <is>
          <t>甲级</t>
        </is>
      </c>
      <c r="M25" s="216">
        <f>VLOOKUP(L25,{"甲级","1.2";"乙级","1.0";"丙级","0.8"},2,0)</f>
        <v/>
      </c>
      <c r="N25" s="234">
        <f>K25*M25</f>
        <v/>
      </c>
      <c r="O25" s="234">
        <f>K25+N25</f>
        <v/>
      </c>
      <c r="P25" s="241" t="inlineStr">
        <is>
          <t>表3.3-2、表3.3-5</t>
        </is>
      </c>
      <c r="Q25" s="76" t="n"/>
      <c r="R25" s="77" t="n"/>
      <c r="S25" s="72" t="n"/>
      <c r="T25" s="72" t="n"/>
      <c r="U25" s="72" t="n"/>
      <c r="V25" s="72" t="n"/>
      <c r="W25" s="235" t="n"/>
      <c r="X25" s="72" t="n"/>
      <c r="Y25" s="190" t="n"/>
      <c r="Z25" s="190" t="n"/>
      <c r="AA25" s="190" t="n"/>
      <c r="AB25" s="190" t="n"/>
      <c r="AC25" s="190" t="n"/>
      <c r="AD25" s="236" t="n"/>
      <c r="AE25" s="190" t="n"/>
    </row>
    <row r="26" s="186">
      <c r="A26" s="47" t="n">
        <v>22</v>
      </c>
      <c r="B26" s="204" t="n"/>
      <c r="C26" s="204" t="n"/>
      <c r="D26" s="204" t="n"/>
      <c r="E26" s="54" t="inlineStr">
        <is>
          <t>50＜D≤60</t>
        </is>
      </c>
      <c r="F26" s="43" t="inlineStr">
        <is>
          <t>Ⅳ</t>
        </is>
      </c>
      <c r="G26" s="212" t="inlineStr">
        <is>
          <t>m</t>
        </is>
      </c>
      <c r="H26" s="56" t="n"/>
      <c r="I26" s="233">
        <f>VLOOKUP(F26,{"Ⅰ","109";"Ⅱ","168";"Ⅲ","277";"Ⅳ","489";"Ⅴ","711";"Ⅵ","901"},2,0)</f>
        <v/>
      </c>
      <c r="J26" s="234" t="n"/>
      <c r="K26" s="234">
        <f>I26*H26*J26</f>
        <v/>
      </c>
      <c r="L26" s="43" t="inlineStr">
        <is>
          <t>甲级</t>
        </is>
      </c>
      <c r="M26" s="216">
        <f>VLOOKUP(L26,{"甲级","1.2";"乙级","1.0";"丙级","0.8"},2,0)</f>
        <v/>
      </c>
      <c r="N26" s="234">
        <f>K26*M26</f>
        <v/>
      </c>
      <c r="O26" s="234">
        <f>K26+N26</f>
        <v/>
      </c>
      <c r="P26" s="241" t="inlineStr">
        <is>
          <t>表3.3-2、表3.3-5</t>
        </is>
      </c>
      <c r="Q26" s="76" t="n"/>
      <c r="R26" s="77" t="n"/>
      <c r="S26" s="72" t="n"/>
      <c r="T26" s="72" t="n"/>
      <c r="U26" s="72" t="n"/>
      <c r="V26" s="72" t="n"/>
      <c r="W26" s="235" t="n"/>
      <c r="X26" s="72" t="n"/>
      <c r="Y26" s="190" t="n"/>
      <c r="Z26" s="190" t="n"/>
      <c r="AA26" s="190" t="n"/>
      <c r="AB26" s="190" t="n"/>
      <c r="AC26" s="190" t="n"/>
      <c r="AD26" s="236" t="n"/>
      <c r="AE26" s="190" t="n"/>
    </row>
    <row r="27" s="186">
      <c r="A27" s="43" t="n">
        <v>23</v>
      </c>
      <c r="B27" s="204" t="n"/>
      <c r="C27" s="204" t="n"/>
      <c r="D27" s="204" t="n"/>
      <c r="E27" s="54" t="inlineStr">
        <is>
          <t>50＜D≤60</t>
        </is>
      </c>
      <c r="F27" s="43" t="inlineStr">
        <is>
          <t>Ⅴ</t>
        </is>
      </c>
      <c r="G27" s="212" t="inlineStr">
        <is>
          <t>m</t>
        </is>
      </c>
      <c r="H27" s="56" t="n"/>
      <c r="I27" s="233">
        <f>VLOOKUP(F27,{"Ⅰ","109";"Ⅱ","168";"Ⅲ","277";"Ⅳ","489";"Ⅴ","711";"Ⅵ","901"},2,0)</f>
        <v/>
      </c>
      <c r="J27" s="234" t="n"/>
      <c r="K27" s="234">
        <f>I27*H27*J27</f>
        <v/>
      </c>
      <c r="L27" s="43" t="inlineStr">
        <is>
          <t>甲级</t>
        </is>
      </c>
      <c r="M27" s="216">
        <f>VLOOKUP(L27,{"甲级","1.2";"乙级","1.0";"丙级","0.8"},2,0)</f>
        <v/>
      </c>
      <c r="N27" s="234">
        <f>K27*M27</f>
        <v/>
      </c>
      <c r="O27" s="234">
        <f>K27+N27</f>
        <v/>
      </c>
      <c r="P27" s="241" t="inlineStr">
        <is>
          <t>表3.3-2、表3.3-5</t>
        </is>
      </c>
      <c r="Q27" s="76" t="n"/>
      <c r="R27" s="77" t="n"/>
      <c r="S27" s="72" t="n"/>
      <c r="T27" s="72" t="n"/>
      <c r="U27" s="72" t="n"/>
      <c r="V27" s="72" t="n"/>
      <c r="W27" s="235" t="n"/>
      <c r="X27" s="72" t="n"/>
      <c r="Y27" s="190" t="n"/>
      <c r="Z27" s="190" t="n"/>
      <c r="AA27" s="190" t="n"/>
      <c r="AB27" s="190" t="n"/>
      <c r="AC27" s="190" t="n"/>
      <c r="AD27" s="236" t="n"/>
      <c r="AE27" s="190" t="n"/>
    </row>
    <row r="28" s="186">
      <c r="A28" s="47" t="n">
        <v>24</v>
      </c>
      <c r="B28" s="204" t="n"/>
      <c r="C28" s="204" t="n"/>
      <c r="D28" s="204" t="n"/>
      <c r="E28" s="54" t="inlineStr">
        <is>
          <t>60＜D≤80</t>
        </is>
      </c>
      <c r="F28" s="43" t="inlineStr">
        <is>
          <t>Ⅵ</t>
        </is>
      </c>
      <c r="G28" s="212" t="inlineStr">
        <is>
          <t>m</t>
        </is>
      </c>
      <c r="H28" s="56" t="n"/>
      <c r="I28" s="233">
        <f>VLOOKUP(F28,{"Ⅰ","121";"Ⅱ","187";"Ⅲ","307";"Ⅳ","542";"Ⅴ","789";"Ⅵ","1000"},2,0)</f>
        <v/>
      </c>
      <c r="J28" s="234" t="n"/>
      <c r="K28" s="234">
        <f>I28*H28*J28</f>
        <v/>
      </c>
      <c r="L28" s="43" t="inlineStr">
        <is>
          <t>甲级</t>
        </is>
      </c>
      <c r="M28" s="216">
        <f>VLOOKUP(L28,{"甲级","1.2";"乙级","1.0";"丙级","0.8"},2,0)</f>
        <v/>
      </c>
      <c r="N28" s="234">
        <f>K28*M28</f>
        <v/>
      </c>
      <c r="O28" s="234">
        <f>K28+N28</f>
        <v/>
      </c>
      <c r="P28" s="241" t="inlineStr">
        <is>
          <t>表3.3-2、表3.3-5</t>
        </is>
      </c>
      <c r="Q28" s="76" t="n"/>
      <c r="R28" s="77" t="n"/>
      <c r="S28" s="72" t="n"/>
      <c r="T28" s="72" t="n"/>
      <c r="U28" s="72" t="n"/>
      <c r="V28" s="72" t="n"/>
      <c r="W28" s="235" t="n"/>
      <c r="X28" s="72" t="n"/>
      <c r="Y28" s="190" t="n"/>
      <c r="Z28" s="190" t="n"/>
      <c r="AA28" s="190" t="n"/>
      <c r="AB28" s="190" t="n"/>
      <c r="AC28" s="190" t="n"/>
      <c r="AD28" s="236" t="n"/>
      <c r="AE28" s="190" t="n"/>
    </row>
    <row r="29" s="186">
      <c r="A29" s="43" t="n">
        <v>25</v>
      </c>
      <c r="B29" s="204" t="n"/>
      <c r="C29" s="204" t="n"/>
      <c r="D29" s="204" t="n"/>
      <c r="E29" s="54" t="inlineStr">
        <is>
          <t>80＜D≤100</t>
        </is>
      </c>
      <c r="F29" s="43" t="inlineStr">
        <is>
          <t>Ⅵ</t>
        </is>
      </c>
      <c r="G29" s="212" t="inlineStr">
        <is>
          <t>m</t>
        </is>
      </c>
      <c r="H29" s="56" t="n"/>
      <c r="I29" s="233">
        <f>VLOOKUP(F29,{"Ⅰ","132";"Ⅱ","204";"Ⅲ","335";"Ⅳ","592";"Ⅴ","862";"Ⅵ","1092"},2,0)</f>
        <v/>
      </c>
      <c r="J29" s="234" t="n"/>
      <c r="K29" s="234">
        <f>I29*H29*J29</f>
        <v/>
      </c>
      <c r="L29" s="43" t="inlineStr">
        <is>
          <t>甲级</t>
        </is>
      </c>
      <c r="M29" s="216">
        <f>VLOOKUP(L29,{"甲级","1.2";"乙级","1.0";"丙级","0.8"},2,0)</f>
        <v/>
      </c>
      <c r="N29" s="234">
        <f>K29*M29</f>
        <v/>
      </c>
      <c r="O29" s="234">
        <f>K29+N29</f>
        <v/>
      </c>
      <c r="P29" s="241" t="inlineStr">
        <is>
          <t>表3.3-2、表3.3-5</t>
        </is>
      </c>
      <c r="Q29" s="76" t="n"/>
      <c r="R29" s="77" t="n"/>
      <c r="S29" s="72" t="n"/>
      <c r="T29" s="72" t="n"/>
      <c r="U29" s="72" t="n"/>
      <c r="V29" s="72" t="n"/>
      <c r="W29" s="235" t="n"/>
      <c r="X29" s="72" t="n"/>
      <c r="Y29" s="190" t="n"/>
      <c r="Z29" s="190" t="n"/>
      <c r="AA29" s="190" t="n"/>
      <c r="AB29" s="190" t="n"/>
      <c r="AC29" s="190" t="n"/>
      <c r="AD29" s="236" t="n"/>
      <c r="AE29" s="190" t="n"/>
    </row>
    <row r="30" s="186">
      <c r="A30" s="47" t="n">
        <v>26</v>
      </c>
      <c r="B30" s="204" t="n"/>
      <c r="C30" s="204" t="n"/>
      <c r="D30" s="204" t="n"/>
      <c r="E30" s="54" t="inlineStr">
        <is>
          <t>100＜D≤120</t>
        </is>
      </c>
      <c r="F30" s="43" t="inlineStr">
        <is>
          <t>Ⅵ</t>
        </is>
      </c>
      <c r="G30" s="212" t="inlineStr">
        <is>
          <t>m</t>
        </is>
      </c>
      <c r="H30" s="56" t="n"/>
      <c r="I30" s="233">
        <f>I29*1.2</f>
        <v/>
      </c>
      <c r="J30" s="234" t="n"/>
      <c r="K30" s="234">
        <f>I30*H30*J30</f>
        <v/>
      </c>
      <c r="L30" s="43" t="inlineStr">
        <is>
          <t>甲级</t>
        </is>
      </c>
      <c r="M30" s="216">
        <f>VLOOKUP(L30,{"甲级","1.2";"乙级","1.0";"丙级","0.8"},2,0)</f>
        <v/>
      </c>
      <c r="N30" s="234">
        <f>K30*M30</f>
        <v/>
      </c>
      <c r="O30" s="234">
        <f>K30+N30</f>
        <v/>
      </c>
      <c r="P30" s="241" t="inlineStr">
        <is>
          <t>表3.3-2、表3.3-5</t>
        </is>
      </c>
      <c r="Q30" s="76" t="n"/>
      <c r="R30" s="77" t="n"/>
      <c r="S30" s="72" t="n"/>
      <c r="T30" s="72" t="n"/>
      <c r="U30" s="72" t="n"/>
      <c r="V30" s="72" t="n"/>
      <c r="W30" s="235" t="n"/>
      <c r="X30" s="72" t="n"/>
      <c r="Y30" s="190" t="n"/>
      <c r="Z30" s="190" t="n"/>
      <c r="AA30" s="190" t="n"/>
      <c r="AB30" s="190" t="n"/>
      <c r="AC30" s="190" t="n"/>
      <c r="AD30" s="236" t="n"/>
      <c r="AE30" s="190" t="n"/>
    </row>
    <row r="31" s="186">
      <c r="A31" s="43" t="n">
        <v>27</v>
      </c>
      <c r="B31" s="204" t="n"/>
      <c r="C31" s="204" t="n"/>
      <c r="D31" s="204" t="n"/>
      <c r="E31" s="54" t="inlineStr">
        <is>
          <t>120＜D≤140</t>
        </is>
      </c>
      <c r="F31" s="43" t="inlineStr">
        <is>
          <t>Ⅵ</t>
        </is>
      </c>
      <c r="G31" s="212" t="inlineStr">
        <is>
          <t>m</t>
        </is>
      </c>
      <c r="H31" s="56" t="n"/>
      <c r="I31" s="233">
        <f>I30*1.2</f>
        <v/>
      </c>
      <c r="J31" s="234" t="n"/>
      <c r="K31" s="234">
        <f>I31*H31*J31</f>
        <v/>
      </c>
      <c r="L31" s="43" t="inlineStr">
        <is>
          <t>甲级</t>
        </is>
      </c>
      <c r="M31" s="216">
        <f>VLOOKUP(L31,{"甲级","1.2";"乙级","1.0";"丙级","0.8"},2,0)</f>
        <v/>
      </c>
      <c r="N31" s="234">
        <f>K31*M31</f>
        <v/>
      </c>
      <c r="O31" s="234">
        <f>K31+N31</f>
        <v/>
      </c>
      <c r="P31" s="241" t="inlineStr">
        <is>
          <t>表3.3-2、表3.3-5</t>
        </is>
      </c>
      <c r="Q31" s="76" t="n"/>
      <c r="R31" s="77" t="n"/>
      <c r="S31" s="72" t="n"/>
      <c r="T31" s="72" t="n"/>
      <c r="U31" s="72" t="n"/>
      <c r="V31" s="72" t="n"/>
      <c r="W31" s="235" t="n"/>
      <c r="X31" s="72" t="n"/>
      <c r="Y31" s="190" t="n"/>
      <c r="Z31" s="190" t="n"/>
      <c r="AA31" s="190" t="n"/>
      <c r="AB31" s="190" t="n"/>
      <c r="AC31" s="190" t="n"/>
      <c r="AD31" s="236" t="n"/>
      <c r="AE31" s="190" t="n"/>
    </row>
    <row r="32" s="186">
      <c r="A32" s="47" t="n">
        <v>28</v>
      </c>
      <c r="B32" s="204" t="n"/>
      <c r="C32" s="204" t="n"/>
      <c r="D32" s="204" t="n"/>
      <c r="E32" s="54" t="inlineStr">
        <is>
          <t>140＜D≤160</t>
        </is>
      </c>
      <c r="F32" s="43" t="inlineStr">
        <is>
          <t>Ⅵ</t>
        </is>
      </c>
      <c r="G32" s="212" t="inlineStr">
        <is>
          <t>m</t>
        </is>
      </c>
      <c r="H32" s="56" t="n"/>
      <c r="I32" s="233">
        <f>I31*1.2</f>
        <v/>
      </c>
      <c r="J32" s="234" t="n"/>
      <c r="K32" s="234">
        <f>I32*H32*J32</f>
        <v/>
      </c>
      <c r="L32" s="43" t="inlineStr">
        <is>
          <t>甲级</t>
        </is>
      </c>
      <c r="M32" s="216">
        <f>VLOOKUP(L32,{"甲级","1.2";"乙级","1.0";"丙级","0.8"},2,0)</f>
        <v/>
      </c>
      <c r="N32" s="234">
        <f>K32*M32</f>
        <v/>
      </c>
      <c r="O32" s="234">
        <f>K32+N32</f>
        <v/>
      </c>
      <c r="P32" s="241" t="inlineStr">
        <is>
          <t>表3.3-2、表3.3-5</t>
        </is>
      </c>
      <c r="Q32" s="76" t="n"/>
      <c r="R32" s="77" t="n"/>
      <c r="S32" s="72" t="n"/>
      <c r="T32" s="72" t="n"/>
      <c r="U32" s="72" t="n"/>
      <c r="V32" s="72" t="n"/>
      <c r="W32" s="235" t="n"/>
      <c r="X32" s="72" t="n"/>
      <c r="Y32" s="190" t="n"/>
      <c r="Z32" s="190" t="n"/>
      <c r="AA32" s="190" t="n"/>
      <c r="AB32" s="190" t="n"/>
      <c r="AC32" s="190" t="n"/>
      <c r="AD32" s="236" t="n"/>
      <c r="AE32" s="190" t="n"/>
    </row>
    <row r="33" s="186">
      <c r="A33" s="43" t="n">
        <v>29</v>
      </c>
      <c r="B33" s="204" t="n"/>
      <c r="C33" s="204" t="n"/>
      <c r="D33" s="204" t="n"/>
      <c r="E33" s="54" t="inlineStr">
        <is>
          <t>160＜D≤180</t>
        </is>
      </c>
      <c r="F33" s="43" t="inlineStr">
        <is>
          <t>Ⅵ</t>
        </is>
      </c>
      <c r="G33" s="212" t="inlineStr">
        <is>
          <t>m</t>
        </is>
      </c>
      <c r="H33" s="56" t="n"/>
      <c r="I33" s="233">
        <f>I32*1.2</f>
        <v/>
      </c>
      <c r="J33" s="234" t="n"/>
      <c r="K33" s="234">
        <f>I33*H33*J33</f>
        <v/>
      </c>
      <c r="L33" s="43" t="inlineStr">
        <is>
          <t>甲级</t>
        </is>
      </c>
      <c r="M33" s="216">
        <f>VLOOKUP(L33,{"甲级","1.2";"乙级","1.0";"丙级","0.8"},2,0)</f>
        <v/>
      </c>
      <c r="N33" s="234">
        <f>K33*M33</f>
        <v/>
      </c>
      <c r="O33" s="234">
        <f>K33+N33</f>
        <v/>
      </c>
      <c r="P33" s="241" t="inlineStr">
        <is>
          <t>表3.3-2、表3.3-5</t>
        </is>
      </c>
      <c r="Q33" s="76" t="n"/>
      <c r="R33" s="77" t="n"/>
      <c r="S33" s="72" t="n"/>
      <c r="T33" s="72" t="n"/>
      <c r="U33" s="72" t="n"/>
      <c r="V33" s="72" t="n"/>
      <c r="W33" s="235" t="n"/>
      <c r="X33" s="72" t="n"/>
      <c r="Y33" s="190" t="n"/>
      <c r="Z33" s="190" t="n"/>
      <c r="AA33" s="190" t="n"/>
      <c r="AB33" s="190" t="n"/>
      <c r="AC33" s="190" t="n"/>
      <c r="AD33" s="236" t="n"/>
      <c r="AE33" s="190" t="n"/>
    </row>
    <row r="34" s="186">
      <c r="A34" s="47" t="n">
        <v>30</v>
      </c>
      <c r="B34" s="204" t="n"/>
      <c r="C34" s="204" t="n"/>
      <c r="D34" s="204" t="n"/>
      <c r="E34" s="54" t="inlineStr">
        <is>
          <t>180＜D≤200</t>
        </is>
      </c>
      <c r="F34" s="43" t="inlineStr">
        <is>
          <t>Ⅵ</t>
        </is>
      </c>
      <c r="G34" s="212" t="inlineStr">
        <is>
          <t>m</t>
        </is>
      </c>
      <c r="H34" s="56" t="n"/>
      <c r="I34" s="233">
        <f>I33*1.2</f>
        <v/>
      </c>
      <c r="J34" s="234" t="n"/>
      <c r="K34" s="234">
        <f>I34*H34*J34</f>
        <v/>
      </c>
      <c r="L34" s="43" t="inlineStr">
        <is>
          <t>甲级</t>
        </is>
      </c>
      <c r="M34" s="216">
        <f>VLOOKUP(L34,{"甲级","1.2";"乙级","1.0";"丙级","0.8"},2,0)</f>
        <v/>
      </c>
      <c r="N34" s="234">
        <f>K34*M34</f>
        <v/>
      </c>
      <c r="O34" s="234">
        <f>K34+N34</f>
        <v/>
      </c>
      <c r="P34" s="241" t="inlineStr">
        <is>
          <t>表3.3-2、表3.3-5</t>
        </is>
      </c>
      <c r="Q34" s="76" t="n"/>
      <c r="R34" s="77" t="n"/>
      <c r="S34" s="72" t="n"/>
      <c r="T34" s="72" t="n"/>
      <c r="U34" s="72" t="n"/>
      <c r="V34" s="72" t="n"/>
      <c r="W34" s="235" t="n"/>
      <c r="X34" s="72" t="n"/>
      <c r="Y34" s="190" t="n"/>
      <c r="Z34" s="190" t="n"/>
      <c r="AA34" s="190" t="n"/>
      <c r="AB34" s="190" t="n"/>
      <c r="AC34" s="190" t="n"/>
      <c r="AD34" s="236" t="n"/>
      <c r="AE34" s="190" t="n"/>
    </row>
    <row r="35" s="186">
      <c r="A35" s="43" t="n">
        <v>31</v>
      </c>
      <c r="B35" s="204" t="n"/>
      <c r="C35" s="204" t="n"/>
      <c r="D35" s="204" t="n"/>
      <c r="E35" s="54" t="inlineStr">
        <is>
          <t>200＜D≤220</t>
        </is>
      </c>
      <c r="F35" s="43" t="inlineStr">
        <is>
          <t>Ⅵ</t>
        </is>
      </c>
      <c r="G35" s="212" t="inlineStr">
        <is>
          <t>m</t>
        </is>
      </c>
      <c r="H35" s="212" t="n"/>
      <c r="I35" s="233">
        <f>I34*1.2</f>
        <v/>
      </c>
      <c r="J35" s="234" t="n"/>
      <c r="K35" s="234">
        <f>I35*H35*J35</f>
        <v/>
      </c>
      <c r="L35" s="43" t="inlineStr">
        <is>
          <t>甲级</t>
        </is>
      </c>
      <c r="M35" s="216">
        <f>VLOOKUP(L35,{"甲级","1.2";"乙级","1.0";"丙级","0.8"},2,0)</f>
        <v/>
      </c>
      <c r="N35" s="234">
        <f>K35*M35</f>
        <v/>
      </c>
      <c r="O35" s="234">
        <f>K35+N35</f>
        <v/>
      </c>
      <c r="P35" s="241" t="inlineStr">
        <is>
          <t>表3.3-2、表3.3-5</t>
        </is>
      </c>
      <c r="Q35" s="76" t="n"/>
      <c r="R35" s="77" t="n"/>
      <c r="S35" s="72" t="n"/>
      <c r="T35" s="72" t="n"/>
      <c r="U35" s="72" t="n"/>
      <c r="V35" s="72" t="n"/>
      <c r="W35" s="235" t="n"/>
      <c r="X35" s="72" t="n"/>
      <c r="Y35" s="190" t="n"/>
      <c r="Z35" s="190" t="n"/>
      <c r="AA35" s="190" t="n"/>
      <c r="AB35" s="190" t="n"/>
      <c r="AC35" s="190" t="n"/>
      <c r="AD35" s="236" t="n"/>
      <c r="AE35" s="190" t="n"/>
    </row>
    <row r="36" s="186">
      <c r="A36" s="47" t="n">
        <v>32</v>
      </c>
      <c r="B36" s="204" t="n"/>
      <c r="C36" s="204" t="n"/>
      <c r="D36" s="204" t="n"/>
      <c r="E36" s="54" t="inlineStr">
        <is>
          <t>220＜D≤240</t>
        </is>
      </c>
      <c r="F36" s="43" t="inlineStr">
        <is>
          <t>Ⅵ</t>
        </is>
      </c>
      <c r="G36" s="212" t="inlineStr">
        <is>
          <t>m</t>
        </is>
      </c>
      <c r="H36" s="212" t="n"/>
      <c r="I36" s="233">
        <f>I35*1.2</f>
        <v/>
      </c>
      <c r="J36" s="234" t="n"/>
      <c r="K36" s="234">
        <f>I36*H36*J36</f>
        <v/>
      </c>
      <c r="L36" s="43" t="inlineStr">
        <is>
          <t>甲级</t>
        </is>
      </c>
      <c r="M36" s="216">
        <f>VLOOKUP(L36,{"甲级","1.2";"乙级","1.0";"丙级","0.8"},2,0)</f>
        <v/>
      </c>
      <c r="N36" s="234">
        <f>K36*M36</f>
        <v/>
      </c>
      <c r="O36" s="234">
        <f>K36+N36</f>
        <v/>
      </c>
      <c r="P36" s="241" t="inlineStr">
        <is>
          <t>表3.3-2、表3.3-5</t>
        </is>
      </c>
      <c r="Q36" s="76" t="n"/>
      <c r="R36" s="77" t="n"/>
      <c r="S36" s="72" t="n"/>
      <c r="T36" s="72" t="n"/>
      <c r="U36" s="72" t="n"/>
      <c r="V36" s="72" t="n"/>
      <c r="W36" s="235" t="n"/>
      <c r="X36" s="72" t="n"/>
      <c r="Y36" s="190" t="n"/>
      <c r="Z36" s="190" t="n"/>
      <c r="AA36" s="190" t="n"/>
      <c r="AB36" s="190" t="n"/>
      <c r="AC36" s="190" t="n"/>
      <c r="AD36" s="236" t="n"/>
      <c r="AE36" s="190" t="n"/>
    </row>
    <row r="37" s="186">
      <c r="A37" s="43" t="n">
        <v>33</v>
      </c>
      <c r="B37" s="204" t="n"/>
      <c r="C37" s="204" t="n"/>
      <c r="D37" s="204" t="n"/>
      <c r="E37" s="54" t="inlineStr">
        <is>
          <t>240＜D≤260</t>
        </is>
      </c>
      <c r="F37" s="43" t="inlineStr">
        <is>
          <t>Ⅵ</t>
        </is>
      </c>
      <c r="G37" s="212" t="inlineStr">
        <is>
          <t>m</t>
        </is>
      </c>
      <c r="H37" s="212" t="n"/>
      <c r="I37" s="233">
        <f>I36*1.2</f>
        <v/>
      </c>
      <c r="J37" s="234" t="n"/>
      <c r="K37" s="234">
        <f>I37*H37*J37</f>
        <v/>
      </c>
      <c r="L37" s="43" t="inlineStr">
        <is>
          <t>甲级</t>
        </is>
      </c>
      <c r="M37" s="216">
        <f>VLOOKUP(L37,{"甲级","1.2";"乙级","1.0";"丙级","0.8"},2,0)</f>
        <v/>
      </c>
      <c r="N37" s="234">
        <f>K37*M37</f>
        <v/>
      </c>
      <c r="O37" s="234">
        <f>K37+N37</f>
        <v/>
      </c>
      <c r="P37" s="241" t="inlineStr">
        <is>
          <t>表3.3-2、表3.3-5</t>
        </is>
      </c>
      <c r="Q37" s="78" t="n"/>
      <c r="R37" s="77" t="n"/>
      <c r="S37" s="72" t="n"/>
      <c r="T37" s="72" t="n"/>
      <c r="U37" s="72" t="n"/>
      <c r="V37" s="72" t="n"/>
      <c r="W37" s="235" t="n"/>
      <c r="X37" s="72" t="n"/>
      <c r="Y37" s="190" t="n"/>
      <c r="Z37" s="190" t="n"/>
      <c r="AA37" s="190" t="n"/>
      <c r="AB37" s="190" t="n"/>
      <c r="AC37" s="190" t="n"/>
      <c r="AD37" s="236" t="n"/>
      <c r="AE37" s="190" t="n"/>
    </row>
    <row r="38" s="186">
      <c r="A38" s="47" t="n">
        <v>34</v>
      </c>
      <c r="B38" s="204" t="n"/>
      <c r="C38" s="204" t="n"/>
      <c r="D38" s="204" t="n"/>
      <c r="E38" s="54" t="inlineStr">
        <is>
          <t>260＜D≤280</t>
        </is>
      </c>
      <c r="F38" s="43" t="inlineStr">
        <is>
          <t>Ⅵ</t>
        </is>
      </c>
      <c r="G38" s="212" t="inlineStr">
        <is>
          <t>m</t>
        </is>
      </c>
      <c r="H38" s="212" t="n"/>
      <c r="I38" s="233">
        <f>I37*1.2</f>
        <v/>
      </c>
      <c r="J38" s="234" t="n"/>
      <c r="K38" s="234">
        <f>I38*H38*J38</f>
        <v/>
      </c>
      <c r="L38" s="43" t="inlineStr">
        <is>
          <t>甲级</t>
        </is>
      </c>
      <c r="M38" s="216">
        <f>VLOOKUP(L38,{"甲级","1.2";"乙级","1.0";"丙级","0.8"},2,0)</f>
        <v/>
      </c>
      <c r="N38" s="234">
        <f>K38*M38</f>
        <v/>
      </c>
      <c r="O38" s="234">
        <f>K38+N38</f>
        <v/>
      </c>
      <c r="P38" s="241" t="inlineStr">
        <is>
          <t>表3.3-2、表3.3-5</t>
        </is>
      </c>
      <c r="Q38" s="79" t="n"/>
      <c r="R38" s="77" t="n"/>
      <c r="S38" s="72" t="n"/>
      <c r="T38" s="72" t="n"/>
      <c r="U38" s="72" t="n"/>
      <c r="V38" s="72" t="n"/>
      <c r="W38" s="235" t="n"/>
      <c r="X38" s="72" t="n"/>
      <c r="Y38" s="190" t="n"/>
      <c r="Z38" s="190" t="n"/>
      <c r="AA38" s="190" t="n"/>
      <c r="AB38" s="190" t="n"/>
      <c r="AC38" s="190" t="n"/>
      <c r="AD38" s="236" t="n"/>
      <c r="AE38" s="190" t="n"/>
    </row>
    <row r="39" s="186">
      <c r="A39" s="43" t="n">
        <v>35</v>
      </c>
      <c r="B39" s="204" t="n"/>
      <c r="C39" s="204" t="n"/>
      <c r="D39" s="204" t="n"/>
      <c r="E39" s="54" t="inlineStr">
        <is>
          <t>280＜D≤300</t>
        </is>
      </c>
      <c r="F39" s="43" t="inlineStr">
        <is>
          <t>Ⅵ</t>
        </is>
      </c>
      <c r="G39" s="212" t="inlineStr">
        <is>
          <t>m</t>
        </is>
      </c>
      <c r="H39" s="212" t="n"/>
      <c r="I39" s="233">
        <f>I38*1.2</f>
        <v/>
      </c>
      <c r="J39" s="234" t="n"/>
      <c r="K39" s="234">
        <f>I39*H39*J39</f>
        <v/>
      </c>
      <c r="L39" s="43" t="inlineStr">
        <is>
          <t>甲级</t>
        </is>
      </c>
      <c r="M39" s="216">
        <f>VLOOKUP(L39,{"甲级","1.2";"乙级","1.0";"丙级","0.8"},2,0)</f>
        <v/>
      </c>
      <c r="N39" s="234">
        <f>K39*M39</f>
        <v/>
      </c>
      <c r="O39" s="234">
        <f>K39+N39</f>
        <v/>
      </c>
      <c r="P39" s="241" t="inlineStr">
        <is>
          <t>表3.3-2、表3.3-5</t>
        </is>
      </c>
      <c r="Q39" s="79" t="n"/>
      <c r="R39" s="77" t="n"/>
      <c r="S39" s="72" t="n"/>
      <c r="T39" s="72" t="n"/>
      <c r="U39" s="72" t="n"/>
      <c r="V39" s="72" t="n"/>
      <c r="W39" s="235" t="n"/>
      <c r="X39" s="72" t="n"/>
      <c r="Y39" s="190" t="n"/>
      <c r="Z39" s="190" t="n"/>
      <c r="AA39" s="190" t="n"/>
      <c r="AB39" s="190" t="n"/>
      <c r="AC39" s="190" t="n"/>
      <c r="AD39" s="236" t="n"/>
      <c r="AE39" s="190" t="n"/>
    </row>
    <row r="40" s="186">
      <c r="A40" s="47" t="n">
        <v>36</v>
      </c>
      <c r="B40" s="204" t="n"/>
      <c r="C40" s="204" t="n"/>
      <c r="D40" s="204" t="n"/>
      <c r="E40" s="54" t="inlineStr">
        <is>
          <t>300＜D≤320</t>
        </is>
      </c>
      <c r="F40" s="43" t="inlineStr">
        <is>
          <t>Ⅵ</t>
        </is>
      </c>
      <c r="G40" s="212" t="inlineStr">
        <is>
          <t>m</t>
        </is>
      </c>
      <c r="H40" s="212" t="n">
        <v>20</v>
      </c>
      <c r="I40" s="233">
        <f>I39*1.2</f>
        <v/>
      </c>
      <c r="J40" s="234" t="n">
        <v>1</v>
      </c>
      <c r="K40" s="234">
        <f>I40*H40*J40</f>
        <v/>
      </c>
      <c r="L40" s="43" t="inlineStr">
        <is>
          <t>甲级</t>
        </is>
      </c>
      <c r="M40" s="216" t="n">
        <v>1.2</v>
      </c>
      <c r="N40" s="234">
        <f>K40*M40</f>
        <v/>
      </c>
      <c r="O40" s="234">
        <f>H40*J40*I40*(1+M40)</f>
        <v/>
      </c>
      <c r="P40" s="241" t="inlineStr">
        <is>
          <t>表3.3-2、表3.3-5</t>
        </is>
      </c>
      <c r="Q40" s="79" t="n"/>
      <c r="R40" s="77" t="n"/>
      <c r="S40" s="72" t="n"/>
      <c r="T40" s="72" t="n"/>
      <c r="U40" s="72" t="n"/>
      <c r="V40" s="72" t="n"/>
      <c r="W40" s="235" t="n"/>
      <c r="X40" s="72" t="n"/>
      <c r="Y40" s="190" t="n"/>
      <c r="Z40" s="190" t="n"/>
      <c r="AA40" s="190" t="n"/>
      <c r="AB40" s="190" t="n"/>
      <c r="AC40" s="190" t="n"/>
      <c r="AD40" s="236" t="n"/>
      <c r="AE40" s="190" t="n"/>
    </row>
    <row r="41" s="186">
      <c r="A41" s="43" t="n">
        <v>37</v>
      </c>
      <c r="B41" s="204" t="n"/>
      <c r="C41" s="204" t="n"/>
      <c r="D41" s="204" t="n"/>
      <c r="E41" s="54" t="inlineStr">
        <is>
          <t>320＜D≤340</t>
        </is>
      </c>
      <c r="F41" s="43" t="inlineStr">
        <is>
          <t>Ⅵ</t>
        </is>
      </c>
      <c r="G41" s="212" t="inlineStr">
        <is>
          <t>m</t>
        </is>
      </c>
      <c r="H41" s="212" t="n"/>
      <c r="I41" s="233">
        <f>I40*1.2</f>
        <v/>
      </c>
      <c r="J41" s="234" t="n"/>
      <c r="K41" s="234">
        <f>I41*H41*J41</f>
        <v/>
      </c>
      <c r="L41" s="43" t="inlineStr">
        <is>
          <t>甲级</t>
        </is>
      </c>
      <c r="M41" s="216">
        <f>VLOOKUP(L41,{"甲级","1.2";"乙级","1.0";"丙级","0.8"},2,0)</f>
        <v/>
      </c>
      <c r="N41" s="234">
        <f>K41*M41</f>
        <v/>
      </c>
      <c r="O41" s="234">
        <f>K41+N41</f>
        <v/>
      </c>
      <c r="P41" s="241" t="inlineStr">
        <is>
          <t>表3.3-2、表3.3-5</t>
        </is>
      </c>
      <c r="Q41" s="80" t="n"/>
      <c r="R41" s="77" t="n"/>
      <c r="S41" s="72" t="n"/>
      <c r="T41" s="72" t="n"/>
      <c r="U41" s="72" t="n"/>
      <c r="V41" s="72" t="n"/>
      <c r="W41" s="235" t="n"/>
      <c r="X41" s="72" t="n"/>
      <c r="Y41" s="190" t="n"/>
      <c r="Z41" s="190" t="n"/>
      <c r="AA41" s="190" t="n"/>
      <c r="AB41" s="190" t="n"/>
      <c r="AC41" s="190" t="n"/>
      <c r="AD41" s="236" t="n"/>
      <c r="AE41" s="190" t="n"/>
    </row>
    <row r="42" s="186">
      <c r="A42" s="47" t="n">
        <v>38</v>
      </c>
      <c r="B42" s="204" t="n"/>
      <c r="C42" s="204" t="n"/>
      <c r="D42" s="204" t="n"/>
      <c r="E42" s="54" t="inlineStr">
        <is>
          <t>340＜D≤360</t>
        </is>
      </c>
      <c r="F42" s="43" t="inlineStr">
        <is>
          <t>Ⅵ</t>
        </is>
      </c>
      <c r="G42" s="212" t="inlineStr">
        <is>
          <t>m</t>
        </is>
      </c>
      <c r="H42" s="212" t="n"/>
      <c r="I42" s="233">
        <f>I41*1.2</f>
        <v/>
      </c>
      <c r="J42" s="234" t="n"/>
      <c r="K42" s="234">
        <f>I42*H42*J42</f>
        <v/>
      </c>
      <c r="L42" s="43" t="inlineStr">
        <is>
          <t>甲级</t>
        </is>
      </c>
      <c r="M42" s="216">
        <f>VLOOKUP(L42,{"甲级","1.2";"乙级","1.0";"丙级","0.8"},2,0)</f>
        <v/>
      </c>
      <c r="N42" s="234">
        <f>K42*M42</f>
        <v/>
      </c>
      <c r="O42" s="234">
        <f>K42+N42</f>
        <v/>
      </c>
      <c r="P42" s="241" t="inlineStr">
        <is>
          <t>表3.3-2、表3.3-5</t>
        </is>
      </c>
      <c r="Q42" s="81" t="n"/>
      <c r="R42" s="77" t="n"/>
      <c r="S42" s="72" t="n"/>
      <c r="T42" s="72" t="n"/>
      <c r="U42" s="72" t="n"/>
      <c r="V42" s="72" t="n"/>
      <c r="W42" s="235" t="n"/>
      <c r="X42" s="72" t="n"/>
      <c r="Y42" s="190" t="n"/>
      <c r="Z42" s="190" t="n"/>
      <c r="AA42" s="190" t="n"/>
      <c r="AB42" s="190" t="n"/>
      <c r="AC42" s="190" t="n"/>
      <c r="AD42" s="236" t="n"/>
      <c r="AE42" s="190" t="n"/>
    </row>
    <row r="43" s="186">
      <c r="A43" s="43" t="n">
        <v>39</v>
      </c>
      <c r="B43" s="204" t="n"/>
      <c r="C43" s="204" t="n"/>
      <c r="D43" s="204" t="n"/>
      <c r="E43" s="54" t="inlineStr">
        <is>
          <t>360＜D≤380</t>
        </is>
      </c>
      <c r="F43" s="43" t="inlineStr">
        <is>
          <t>Ⅵ</t>
        </is>
      </c>
      <c r="G43" s="212" t="inlineStr">
        <is>
          <t>m</t>
        </is>
      </c>
      <c r="H43" s="212" t="n"/>
      <c r="I43" s="233">
        <f>I42*1.2</f>
        <v/>
      </c>
      <c r="J43" s="234" t="n"/>
      <c r="K43" s="234">
        <f>I43*H43*J43</f>
        <v/>
      </c>
      <c r="L43" s="43" t="inlineStr">
        <is>
          <t>甲级</t>
        </is>
      </c>
      <c r="M43" s="216">
        <f>VLOOKUP(L43,{"甲级","1.2";"乙级","1.0";"丙级","0.8"},2,0)</f>
        <v/>
      </c>
      <c r="N43" s="234">
        <f>K43*M43</f>
        <v/>
      </c>
      <c r="O43" s="234">
        <f>K43+N43</f>
        <v/>
      </c>
      <c r="P43" s="241" t="inlineStr">
        <is>
          <t>表3.3-2、表3.3-5</t>
        </is>
      </c>
      <c r="Q43" s="242" t="n"/>
      <c r="R43" s="77" t="n"/>
      <c r="S43" s="72" t="n"/>
      <c r="T43" s="72" t="n"/>
      <c r="U43" s="72" t="n"/>
      <c r="V43" s="72" t="n"/>
      <c r="W43" s="235" t="n"/>
      <c r="X43" s="72" t="n"/>
      <c r="Y43" s="190" t="n"/>
      <c r="Z43" s="190" t="n"/>
      <c r="AA43" s="190" t="n"/>
      <c r="AB43" s="190" t="n"/>
      <c r="AC43" s="190" t="n"/>
      <c r="AD43" s="236" t="n"/>
      <c r="AE43" s="190" t="n"/>
    </row>
    <row r="44" s="186">
      <c r="A44" s="47" t="n">
        <v>40</v>
      </c>
      <c r="B44" s="204" t="n"/>
      <c r="C44" s="204" t="n"/>
      <c r="D44" s="204" t="n"/>
      <c r="E44" s="54" t="inlineStr">
        <is>
          <t>380＜D≤400</t>
        </is>
      </c>
      <c r="F44" s="43" t="inlineStr">
        <is>
          <t>Ⅵ</t>
        </is>
      </c>
      <c r="G44" s="212" t="inlineStr">
        <is>
          <t>m</t>
        </is>
      </c>
      <c r="H44" s="212" t="n"/>
      <c r="I44" s="233">
        <f>I43*1.2</f>
        <v/>
      </c>
      <c r="J44" s="234" t="n"/>
      <c r="K44" s="234">
        <f>I44*H44*J44</f>
        <v/>
      </c>
      <c r="L44" s="43" t="inlineStr">
        <is>
          <t>甲级</t>
        </is>
      </c>
      <c r="M44" s="216">
        <f>VLOOKUP(L44,{"甲级","1.2";"乙级","1.0";"丙级","0.8"},2,0)</f>
        <v/>
      </c>
      <c r="N44" s="234">
        <f>K44*M44</f>
        <v/>
      </c>
      <c r="O44" s="234">
        <f>K44+N44</f>
        <v/>
      </c>
      <c r="P44" s="241" t="n"/>
      <c r="Q44" s="76" t="n"/>
      <c r="R44" s="77" t="n"/>
      <c r="S44" s="72" t="n"/>
      <c r="T44" s="72" t="n"/>
      <c r="U44" s="72" t="n"/>
      <c r="V44" s="72" t="n"/>
      <c r="W44" s="235" t="n"/>
      <c r="X44" s="72" t="n"/>
      <c r="Y44" s="190" t="n"/>
      <c r="Z44" s="190" t="n"/>
      <c r="AA44" s="190" t="n"/>
      <c r="AB44" s="190" t="n"/>
      <c r="AC44" s="190" t="n"/>
      <c r="AD44" s="236" t="n"/>
      <c r="AE44" s="190" t="n"/>
    </row>
    <row r="45" s="186">
      <c r="A45" s="43" t="n">
        <v>41</v>
      </c>
      <c r="B45" s="204" t="n"/>
      <c r="C45" s="197" t="n"/>
      <c r="D45" s="197" t="n"/>
      <c r="E45" s="54" t="inlineStr">
        <is>
          <t>400＜D≤420</t>
        </is>
      </c>
      <c r="F45" s="43" t="inlineStr">
        <is>
          <t>Ⅵ</t>
        </is>
      </c>
      <c r="G45" s="212" t="inlineStr">
        <is>
          <t>m</t>
        </is>
      </c>
      <c r="H45" s="212" t="n"/>
      <c r="I45" s="233">
        <f>I44*1.2</f>
        <v/>
      </c>
      <c r="J45" s="234" t="n"/>
      <c r="K45" s="234">
        <f>I45*H45*J45</f>
        <v/>
      </c>
      <c r="L45" s="43" t="inlineStr">
        <is>
          <t>甲级</t>
        </is>
      </c>
      <c r="M45" s="216">
        <f>VLOOKUP(L45,{"甲级","1.2";"乙级","1.0";"丙级","0.8"},2,0)</f>
        <v/>
      </c>
      <c r="N45" s="234">
        <f>K45*M45</f>
        <v/>
      </c>
      <c r="O45" s="234">
        <f>K45+N45</f>
        <v/>
      </c>
      <c r="P45" s="241" t="n"/>
      <c r="Q45" s="76" t="n"/>
      <c r="R45" s="77" t="n"/>
      <c r="S45" s="72" t="n"/>
      <c r="T45" s="72" t="n"/>
      <c r="U45" s="72" t="n"/>
      <c r="V45" s="72" t="n"/>
      <c r="W45" s="235" t="n"/>
      <c r="X45" s="72" t="n"/>
      <c r="Y45" s="190" t="n"/>
      <c r="Z45" s="190" t="n"/>
      <c r="AA45" s="190" t="n"/>
      <c r="AB45" s="190" t="n"/>
      <c r="AC45" s="190" t="n"/>
      <c r="AD45" s="236" t="n"/>
      <c r="AE45" s="190" t="n"/>
    </row>
    <row r="46" s="186">
      <c r="A46" s="47" t="n">
        <v>42</v>
      </c>
      <c r="B46" s="204" t="n"/>
      <c r="C46" s="53" t="inlineStr">
        <is>
          <t>钻探</t>
        </is>
      </c>
      <c r="D46" s="53" t="inlineStr">
        <is>
          <t>水域</t>
        </is>
      </c>
      <c r="E46" s="54" t="inlineStr">
        <is>
          <t>D≤10</t>
        </is>
      </c>
      <c r="F46" s="43" t="inlineStr">
        <is>
          <t>Ⅲ</t>
        </is>
      </c>
      <c r="G46" s="212" t="inlineStr">
        <is>
          <t>m</t>
        </is>
      </c>
      <c r="H46" s="212" t="n"/>
      <c r="I46" s="233">
        <f>VLOOKUP(F46,{"Ⅰ","46";"Ⅱ","71";"Ⅲ","117";"Ⅳ","207";"Ⅴ","301";"Ⅵ","382"},2,0)</f>
        <v/>
      </c>
      <c r="J46" s="234" t="n"/>
      <c r="K46" s="234">
        <f>I46*H46*J46</f>
        <v/>
      </c>
      <c r="L46" s="43" t="inlineStr">
        <is>
          <t>甲级</t>
        </is>
      </c>
      <c r="M46" s="216">
        <f>VLOOKUP(L46,{"甲级","1.2";"乙级","1.0";"丙级","0.8"},2,0)</f>
        <v/>
      </c>
      <c r="N46" s="234">
        <f>K46*M46</f>
        <v/>
      </c>
      <c r="O46" s="234">
        <f>K46+N46</f>
        <v/>
      </c>
      <c r="P46" s="241" t="inlineStr">
        <is>
          <t>表3.3-2、表3.3-5</t>
        </is>
      </c>
      <c r="Q46" s="76" t="n"/>
      <c r="R46" s="77" t="n"/>
      <c r="S46" s="72" t="n"/>
      <c r="T46" s="72" t="n"/>
      <c r="U46" s="72" t="n"/>
      <c r="V46" s="72" t="n"/>
      <c r="W46" s="235" t="n"/>
      <c r="X46" s="72" t="n"/>
      <c r="Y46" s="190" t="n"/>
      <c r="Z46" s="190" t="n"/>
      <c r="AA46" s="190" t="n"/>
      <c r="AB46" s="190" t="n"/>
      <c r="AC46" s="190" t="n"/>
      <c r="AD46" s="236" t="n"/>
      <c r="AE46" s="190" t="n"/>
    </row>
    <row r="47" s="186">
      <c r="A47" s="43" t="n">
        <v>43</v>
      </c>
      <c r="B47" s="204" t="n"/>
      <c r="C47" s="204" t="n"/>
      <c r="D47" s="204" t="n"/>
      <c r="E47" s="54" t="inlineStr">
        <is>
          <t>D≤10</t>
        </is>
      </c>
      <c r="F47" s="43" t="inlineStr">
        <is>
          <t>Ⅲ</t>
        </is>
      </c>
      <c r="G47" s="212" t="inlineStr">
        <is>
          <t>m</t>
        </is>
      </c>
      <c r="H47" s="212" t="n"/>
      <c r="I47" s="233">
        <f>VLOOKUP(F47,{"Ⅰ","46";"Ⅱ","71";"Ⅲ","117";"Ⅳ","207";"Ⅴ","301";"Ⅵ","382"},2,0)</f>
        <v/>
      </c>
      <c r="J47" s="234" t="n"/>
      <c r="K47" s="234">
        <f>I47*H47*J47</f>
        <v/>
      </c>
      <c r="L47" s="43" t="inlineStr">
        <is>
          <t>甲级</t>
        </is>
      </c>
      <c r="M47" s="216">
        <f>VLOOKUP(L47,{"甲级","1.2";"乙级","1.0";"丙级","0.8"},2,0)</f>
        <v/>
      </c>
      <c r="N47" s="234">
        <f>K47*M47</f>
        <v/>
      </c>
      <c r="O47" s="234">
        <f>K47+N47</f>
        <v/>
      </c>
      <c r="P47" s="241" t="inlineStr">
        <is>
          <t>表3.3-2、表3.3-5</t>
        </is>
      </c>
      <c r="Q47" s="76" t="n"/>
      <c r="R47" s="77" t="n"/>
      <c r="S47" s="72" t="n"/>
      <c r="T47" s="72" t="n"/>
      <c r="U47" s="72" t="n"/>
      <c r="V47" s="72" t="n"/>
      <c r="W47" s="235" t="n"/>
      <c r="X47" s="72" t="n"/>
      <c r="Y47" s="190" t="n"/>
      <c r="Z47" s="190" t="n"/>
      <c r="AA47" s="190" t="n"/>
      <c r="AB47" s="190" t="n"/>
      <c r="AC47" s="190" t="n"/>
      <c r="AD47" s="236" t="n"/>
      <c r="AE47" s="190" t="n"/>
    </row>
    <row r="48" s="186">
      <c r="A48" s="47" t="n">
        <v>44</v>
      </c>
      <c r="B48" s="204" t="n"/>
      <c r="C48" s="204" t="n"/>
      <c r="D48" s="204" t="n"/>
      <c r="E48" s="54" t="inlineStr">
        <is>
          <t>10＜D≤20</t>
        </is>
      </c>
      <c r="F48" s="43" t="inlineStr">
        <is>
          <t>Ⅳ</t>
        </is>
      </c>
      <c r="G48" s="212" t="inlineStr">
        <is>
          <t>m</t>
        </is>
      </c>
      <c r="H48" s="212" t="n"/>
      <c r="I48" s="233">
        <f>VLOOKUP(F48,{"Ⅰ","58";"Ⅱ","89";"Ⅲ","147";"Ⅳ","259";"Ⅴ","377";"Ⅵ","477"},2,0)</f>
        <v/>
      </c>
      <c r="J48" s="234" t="n"/>
      <c r="K48" s="234">
        <f>I48*H48*J48</f>
        <v/>
      </c>
      <c r="L48" s="43" t="inlineStr">
        <is>
          <t>甲级</t>
        </is>
      </c>
      <c r="M48" s="216">
        <f>VLOOKUP(L48,{"甲级","1.2";"乙级","1.0";"丙级","0.8"},2,0)</f>
        <v/>
      </c>
      <c r="N48" s="234">
        <f>K48*M48</f>
        <v/>
      </c>
      <c r="O48" s="234">
        <f>K48+N48</f>
        <v/>
      </c>
      <c r="P48" s="241" t="inlineStr">
        <is>
          <t>表3.3-2、表3.3-5</t>
        </is>
      </c>
      <c r="Q48" s="76" t="n"/>
      <c r="R48" s="77" t="n"/>
      <c r="S48" s="72" t="n"/>
      <c r="T48" s="72" t="n"/>
      <c r="U48" s="72" t="n"/>
      <c r="V48" s="72" t="n"/>
      <c r="W48" s="235" t="n"/>
      <c r="X48" s="72" t="n"/>
      <c r="Y48" s="190" t="n"/>
      <c r="Z48" s="190" t="n"/>
      <c r="AA48" s="190" t="n"/>
      <c r="AB48" s="190" t="n"/>
      <c r="AC48" s="190" t="n"/>
      <c r="AD48" s="236" t="n"/>
      <c r="AE48" s="190" t="n"/>
    </row>
    <row r="49" s="186">
      <c r="A49" s="43" t="n">
        <v>45</v>
      </c>
      <c r="B49" s="204" t="n"/>
      <c r="C49" s="204" t="n"/>
      <c r="D49" s="204" t="n"/>
      <c r="E49" s="54" t="inlineStr">
        <is>
          <t>10＜D≤20</t>
        </is>
      </c>
      <c r="F49" s="43" t="inlineStr">
        <is>
          <t>Ⅳ</t>
        </is>
      </c>
      <c r="G49" s="212" t="inlineStr">
        <is>
          <t>m</t>
        </is>
      </c>
      <c r="H49" s="212" t="n"/>
      <c r="I49" s="233">
        <f>VLOOKUP(F49,{"Ⅰ","58";"Ⅱ","89";"Ⅲ","147";"Ⅳ","259";"Ⅴ","377";"Ⅵ","477"},2,0)</f>
        <v/>
      </c>
      <c r="J49" s="234" t="n"/>
      <c r="K49" s="234">
        <f>I49*H49*J49</f>
        <v/>
      </c>
      <c r="L49" s="43" t="inlineStr">
        <is>
          <t>甲级</t>
        </is>
      </c>
      <c r="M49" s="216">
        <f>VLOOKUP(L49,{"甲级","1.2";"乙级","1.0";"丙级","0.8"},2,0)</f>
        <v/>
      </c>
      <c r="N49" s="234">
        <f>K49*M49</f>
        <v/>
      </c>
      <c r="O49" s="234">
        <f>K49+N49</f>
        <v/>
      </c>
      <c r="P49" s="241" t="inlineStr">
        <is>
          <t>表3.3-2、表3.3-5</t>
        </is>
      </c>
      <c r="Q49" s="76" t="n"/>
      <c r="R49" s="77" t="n"/>
      <c r="S49" s="72" t="n"/>
      <c r="T49" s="72" t="n"/>
      <c r="U49" s="72" t="n"/>
      <c r="V49" s="72" t="n"/>
      <c r="W49" s="235" t="n"/>
      <c r="X49" s="72" t="n"/>
      <c r="Y49" s="190" t="n"/>
      <c r="Z49" s="190" t="n"/>
      <c r="AA49" s="190" t="n"/>
      <c r="AB49" s="190" t="n"/>
      <c r="AC49" s="190" t="n"/>
      <c r="AD49" s="236" t="n"/>
      <c r="AE49" s="190" t="n"/>
    </row>
    <row r="50" s="186">
      <c r="A50" s="47" t="n">
        <v>46</v>
      </c>
      <c r="B50" s="204" t="n"/>
      <c r="C50" s="204" t="n"/>
      <c r="D50" s="204" t="n"/>
      <c r="E50" s="54" t="inlineStr">
        <is>
          <t>20＜D≤30</t>
        </is>
      </c>
      <c r="F50" s="43" t="inlineStr">
        <is>
          <t>Ⅳ</t>
        </is>
      </c>
      <c r="G50" s="212" t="inlineStr">
        <is>
          <t>m</t>
        </is>
      </c>
      <c r="H50" s="212" t="n"/>
      <c r="I50" s="233">
        <f>VLOOKUP(F50,{"Ⅰ","69";"Ⅱ","107";"Ⅲ","176";"Ⅳ","311";"Ⅴ","452";"Ⅵ","573"},2,0)</f>
        <v/>
      </c>
      <c r="J50" s="234" t="n"/>
      <c r="K50" s="234">
        <f>I50*H50*J50</f>
        <v/>
      </c>
      <c r="L50" s="43" t="inlineStr">
        <is>
          <t>甲级</t>
        </is>
      </c>
      <c r="M50" s="216">
        <f>VLOOKUP(L50,{"甲级","1.2";"乙级","1.0";"丙级","0.8"},2,0)</f>
        <v/>
      </c>
      <c r="N50" s="234">
        <f>K50*M50</f>
        <v/>
      </c>
      <c r="O50" s="234">
        <f>K50+N50</f>
        <v/>
      </c>
      <c r="P50" s="241" t="inlineStr">
        <is>
          <t>表3.3-2、表3.3-5</t>
        </is>
      </c>
      <c r="Q50" s="76" t="n"/>
      <c r="R50" s="77" t="n"/>
      <c r="S50" s="72" t="n"/>
      <c r="T50" s="72" t="n"/>
      <c r="U50" s="72" t="n"/>
      <c r="V50" s="72" t="n"/>
      <c r="W50" s="235" t="n"/>
      <c r="X50" s="72" t="n"/>
      <c r="Y50" s="190" t="n"/>
      <c r="Z50" s="190" t="n"/>
      <c r="AA50" s="190" t="n"/>
      <c r="AB50" s="190" t="n"/>
      <c r="AC50" s="190" t="n"/>
      <c r="AD50" s="236" t="n"/>
      <c r="AE50" s="190" t="n"/>
    </row>
    <row r="51" s="186">
      <c r="A51" s="43" t="n">
        <v>47</v>
      </c>
      <c r="B51" s="204" t="n"/>
      <c r="C51" s="204" t="n"/>
      <c r="D51" s="204" t="n"/>
      <c r="E51" s="54" t="inlineStr">
        <is>
          <t>20＜D≤30</t>
        </is>
      </c>
      <c r="F51" s="43" t="inlineStr">
        <is>
          <t>Ⅳ</t>
        </is>
      </c>
      <c r="G51" s="212" t="inlineStr">
        <is>
          <t>m</t>
        </is>
      </c>
      <c r="H51" s="212" t="n"/>
      <c r="I51" s="233">
        <f>VLOOKUP(F51,{"Ⅰ","69";"Ⅱ","107";"Ⅲ","176";"Ⅳ","311";"Ⅴ","452";"Ⅵ","573"},2,0)</f>
        <v/>
      </c>
      <c r="J51" s="234" t="n"/>
      <c r="K51" s="234">
        <f>I51*H51*J51</f>
        <v/>
      </c>
      <c r="L51" s="43" t="inlineStr">
        <is>
          <t>甲级</t>
        </is>
      </c>
      <c r="M51" s="216">
        <f>VLOOKUP(L51,{"甲级","1.2";"乙级","1.0";"丙级","0.8"},2,0)</f>
        <v/>
      </c>
      <c r="N51" s="234">
        <f>K51*M51</f>
        <v/>
      </c>
      <c r="O51" s="234">
        <f>K51+N51</f>
        <v/>
      </c>
      <c r="P51" s="241" t="inlineStr">
        <is>
          <t>表3.3-2、表3.3-5</t>
        </is>
      </c>
      <c r="Q51" s="76" t="n"/>
      <c r="R51" s="77" t="n"/>
      <c r="S51" s="72" t="n"/>
      <c r="T51" s="72" t="n"/>
      <c r="U51" s="72" t="n"/>
      <c r="V51" s="72" t="n"/>
      <c r="W51" s="235" t="n"/>
      <c r="X51" s="72" t="n"/>
      <c r="Y51" s="190" t="n"/>
      <c r="Z51" s="190" t="n"/>
      <c r="AA51" s="190" t="n"/>
      <c r="AB51" s="190" t="n"/>
      <c r="AC51" s="190" t="n"/>
      <c r="AD51" s="236" t="n"/>
      <c r="AE51" s="190" t="n"/>
    </row>
    <row r="52" s="186">
      <c r="A52" s="47" t="n">
        <v>48</v>
      </c>
      <c r="B52" s="204" t="n"/>
      <c r="C52" s="204" t="n"/>
      <c r="D52" s="204" t="n"/>
      <c r="E52" s="54" t="inlineStr">
        <is>
          <t>30＜D≤40</t>
        </is>
      </c>
      <c r="F52" s="43" t="inlineStr">
        <is>
          <t>Ⅴ</t>
        </is>
      </c>
      <c r="G52" s="212" t="inlineStr">
        <is>
          <t>m</t>
        </is>
      </c>
      <c r="H52" s="212" t="n"/>
      <c r="I52" s="233">
        <f>VLOOKUP(F52,{"Ⅰ","82";"Ⅱ","127";"Ⅲ","209";"Ⅳ","368";"Ⅴ","536";"Ⅵ","680"},2,0)</f>
        <v/>
      </c>
      <c r="J52" s="234" t="n"/>
      <c r="K52" s="234">
        <f>I52*H52*J52</f>
        <v/>
      </c>
      <c r="L52" s="43" t="inlineStr">
        <is>
          <t>甲级</t>
        </is>
      </c>
      <c r="M52" s="216">
        <f>VLOOKUP(L52,{"甲级","1.2";"乙级","1.0";"丙级","0.8"},2,0)</f>
        <v/>
      </c>
      <c r="N52" s="234">
        <f>K52*M52</f>
        <v/>
      </c>
      <c r="O52" s="234">
        <f>K52+N52</f>
        <v/>
      </c>
      <c r="P52" s="241" t="inlineStr">
        <is>
          <t>表3.3-2、表3.3-5</t>
        </is>
      </c>
      <c r="Q52" s="76" t="n"/>
      <c r="R52" s="77" t="n"/>
      <c r="S52" s="72" t="n"/>
      <c r="T52" s="72" t="n"/>
      <c r="U52" s="72" t="n"/>
      <c r="V52" s="72" t="n"/>
      <c r="W52" s="235" t="n"/>
      <c r="X52" s="72" t="n"/>
      <c r="Y52" s="190" t="n"/>
      <c r="Z52" s="190" t="n"/>
      <c r="AA52" s="190" t="n"/>
      <c r="AB52" s="190" t="n"/>
      <c r="AC52" s="190" t="n"/>
      <c r="AD52" s="236" t="n"/>
      <c r="AE52" s="190" t="n"/>
    </row>
    <row r="53" s="186">
      <c r="A53" s="43" t="n">
        <v>49</v>
      </c>
      <c r="B53" s="204" t="n"/>
      <c r="C53" s="204" t="n"/>
      <c r="D53" s="204" t="n"/>
      <c r="E53" s="54" t="inlineStr">
        <is>
          <t>30＜D≤40</t>
        </is>
      </c>
      <c r="F53" s="43" t="inlineStr">
        <is>
          <t>Ⅴ</t>
        </is>
      </c>
      <c r="G53" s="212" t="inlineStr">
        <is>
          <t>m</t>
        </is>
      </c>
      <c r="H53" s="212" t="n"/>
      <c r="I53" s="233">
        <f>VLOOKUP(F53,{"Ⅰ","82";"Ⅱ","127";"Ⅲ","209";"Ⅳ","368";"Ⅴ","536";"Ⅵ","680"},2,0)</f>
        <v/>
      </c>
      <c r="J53" s="234" t="n"/>
      <c r="K53" s="234">
        <f>I53*H53*J53</f>
        <v/>
      </c>
      <c r="L53" s="43" t="inlineStr">
        <is>
          <t>甲级</t>
        </is>
      </c>
      <c r="M53" s="216">
        <f>VLOOKUP(L53,{"甲级","1.2";"乙级","1.0";"丙级","0.8"},2,0)</f>
        <v/>
      </c>
      <c r="N53" s="234">
        <f>K53*M53</f>
        <v/>
      </c>
      <c r="O53" s="234">
        <f>K53+N53</f>
        <v/>
      </c>
      <c r="P53" s="241" t="inlineStr">
        <is>
          <t>表3.3-2、表3.3-5</t>
        </is>
      </c>
      <c r="Q53" s="76" t="n"/>
      <c r="R53" s="77" t="n"/>
      <c r="S53" s="72" t="n"/>
      <c r="T53" s="72" t="n"/>
      <c r="U53" s="72" t="n"/>
      <c r="V53" s="72" t="n"/>
      <c r="W53" s="235" t="n"/>
      <c r="X53" s="72" t="n"/>
      <c r="Y53" s="190" t="n"/>
      <c r="Z53" s="190" t="n"/>
      <c r="AA53" s="190" t="n"/>
      <c r="AB53" s="190" t="n"/>
      <c r="AC53" s="190" t="n"/>
      <c r="AD53" s="236" t="n"/>
      <c r="AE53" s="190" t="n"/>
    </row>
    <row r="54" s="186">
      <c r="A54" s="47" t="n">
        <v>50</v>
      </c>
      <c r="B54" s="204" t="n"/>
      <c r="C54" s="204" t="n"/>
      <c r="D54" s="204" t="n"/>
      <c r="E54" s="54" t="inlineStr">
        <is>
          <t>40＜D≤50</t>
        </is>
      </c>
      <c r="F54" s="43" t="inlineStr">
        <is>
          <t>Ⅴ</t>
        </is>
      </c>
      <c r="G54" s="212" t="inlineStr">
        <is>
          <t>m</t>
        </is>
      </c>
      <c r="H54" s="212" t="n"/>
      <c r="I54" s="233">
        <f>VLOOKUP(F54,{"Ⅰ","98";"Ⅱ","151";"Ⅲ","249";"Ⅳ","439";"Ⅴ","639";"Ⅵ","809"},2,0)</f>
        <v/>
      </c>
      <c r="J54" s="234" t="n"/>
      <c r="K54" s="234">
        <f>I54*H54*J54</f>
        <v/>
      </c>
      <c r="L54" s="43" t="inlineStr">
        <is>
          <t>甲级</t>
        </is>
      </c>
      <c r="M54" s="216">
        <f>VLOOKUP(L54,{"甲级","1.2";"乙级","1.0";"丙级","0.8"},2,0)</f>
        <v/>
      </c>
      <c r="N54" s="234">
        <f>K54*M54</f>
        <v/>
      </c>
      <c r="O54" s="234">
        <f>K54+N54</f>
        <v/>
      </c>
      <c r="P54" s="241" t="inlineStr">
        <is>
          <t>表3.3-2、表3.3-5</t>
        </is>
      </c>
      <c r="Q54" s="76" t="n"/>
      <c r="R54" s="77" t="n"/>
      <c r="S54" s="72" t="n"/>
      <c r="T54" s="72" t="n"/>
      <c r="U54" s="72" t="n"/>
      <c r="V54" s="72" t="n"/>
      <c r="W54" s="235" t="n"/>
      <c r="X54" s="72" t="n"/>
      <c r="Y54" s="190" t="n"/>
      <c r="Z54" s="190" t="n"/>
      <c r="AA54" s="190" t="n"/>
      <c r="AB54" s="190" t="n"/>
      <c r="AC54" s="190" t="n"/>
      <c r="AD54" s="236" t="n"/>
      <c r="AE54" s="190" t="n"/>
    </row>
    <row r="55" s="186">
      <c r="A55" s="43" t="n">
        <v>51</v>
      </c>
      <c r="B55" s="204" t="n"/>
      <c r="C55" s="204" t="n"/>
      <c r="D55" s="204" t="n"/>
      <c r="E55" s="54" t="inlineStr">
        <is>
          <t>40＜D≤50</t>
        </is>
      </c>
      <c r="F55" s="43" t="inlineStr">
        <is>
          <t>Ⅴ</t>
        </is>
      </c>
      <c r="G55" s="212" t="inlineStr">
        <is>
          <t>m</t>
        </is>
      </c>
      <c r="H55" s="212" t="n"/>
      <c r="I55" s="233">
        <f>VLOOKUP(F55,{"Ⅰ","98";"Ⅱ","151";"Ⅲ","249";"Ⅳ","439";"Ⅴ","639";"Ⅵ","809"},2,0)</f>
        <v/>
      </c>
      <c r="J55" s="234" t="n"/>
      <c r="K55" s="234">
        <f>I55*H55*J55</f>
        <v/>
      </c>
      <c r="L55" s="43" t="inlineStr">
        <is>
          <t>甲级</t>
        </is>
      </c>
      <c r="M55" s="216">
        <f>VLOOKUP(L55,{"甲级","1.2";"乙级","1.0";"丙级","0.8"},2,0)</f>
        <v/>
      </c>
      <c r="N55" s="234">
        <f>K55*M55</f>
        <v/>
      </c>
      <c r="O55" s="234">
        <f>K55+N55</f>
        <v/>
      </c>
      <c r="P55" s="241" t="inlineStr">
        <is>
          <t>表3.3-2、表3.3-5</t>
        </is>
      </c>
      <c r="Q55" s="76" t="n"/>
      <c r="R55" s="77" t="n"/>
      <c r="S55" s="72" t="n"/>
      <c r="T55" s="72" t="n"/>
      <c r="U55" s="72" t="n"/>
      <c r="V55" s="72" t="n"/>
      <c r="W55" s="235" t="n"/>
      <c r="X55" s="72" t="n"/>
      <c r="Y55" s="190" t="n"/>
      <c r="Z55" s="190" t="n"/>
      <c r="AA55" s="190" t="n"/>
      <c r="AB55" s="190" t="n"/>
      <c r="AC55" s="190" t="n"/>
      <c r="AD55" s="236" t="n"/>
      <c r="AE55" s="190" t="n"/>
    </row>
    <row r="56" s="186">
      <c r="A56" s="47" t="n">
        <v>52</v>
      </c>
      <c r="B56" s="204" t="n"/>
      <c r="C56" s="204" t="n"/>
      <c r="D56" s="204" t="n"/>
      <c r="E56" s="54" t="inlineStr">
        <is>
          <t>50＜D≤60</t>
        </is>
      </c>
      <c r="F56" s="43" t="inlineStr">
        <is>
          <t>Ⅴ</t>
        </is>
      </c>
      <c r="G56" s="212" t="inlineStr">
        <is>
          <t>m</t>
        </is>
      </c>
      <c r="H56" s="212" t="n"/>
      <c r="I56" s="233">
        <f>VLOOKUP(F56,{"Ⅰ","109";"Ⅱ","168";"Ⅲ","277";"Ⅳ","489";"Ⅴ","711";"Ⅵ","901"},2,0)</f>
        <v/>
      </c>
      <c r="J56" s="234" t="n"/>
      <c r="K56" s="234">
        <f>I56*H56*J56</f>
        <v/>
      </c>
      <c r="L56" s="43" t="inlineStr">
        <is>
          <t>甲级</t>
        </is>
      </c>
      <c r="M56" s="216">
        <f>VLOOKUP(L56,{"甲级","1.2";"乙级","1.0";"丙级","0.8"},2,0)</f>
        <v/>
      </c>
      <c r="N56" s="234">
        <f>K56*M56</f>
        <v/>
      </c>
      <c r="O56" s="234">
        <f>K56+N56</f>
        <v/>
      </c>
      <c r="P56" s="241" t="inlineStr">
        <is>
          <t>表3.3-2、表3.3-5</t>
        </is>
      </c>
      <c r="Q56" s="76" t="n"/>
      <c r="R56" s="77" t="n"/>
      <c r="S56" s="72" t="n"/>
      <c r="T56" s="72" t="n"/>
      <c r="U56" s="72" t="n"/>
      <c r="V56" s="72" t="n"/>
      <c r="W56" s="235" t="n"/>
      <c r="X56" s="72" t="n"/>
      <c r="Y56" s="190" t="n"/>
      <c r="Z56" s="190" t="n"/>
      <c r="AA56" s="190" t="n"/>
      <c r="AB56" s="190" t="n"/>
      <c r="AC56" s="190" t="n"/>
      <c r="AD56" s="236" t="n"/>
      <c r="AE56" s="190" t="n"/>
    </row>
    <row r="57" s="186">
      <c r="A57" s="43" t="n">
        <v>53</v>
      </c>
      <c r="B57" s="204" t="n"/>
      <c r="C57" s="204" t="n"/>
      <c r="D57" s="204" t="n"/>
      <c r="E57" s="54" t="inlineStr">
        <is>
          <t>60＜D≤80</t>
        </is>
      </c>
      <c r="F57" s="43" t="inlineStr">
        <is>
          <t>Ⅰ</t>
        </is>
      </c>
      <c r="G57" s="212" t="inlineStr">
        <is>
          <t>m</t>
        </is>
      </c>
      <c r="H57" s="212" t="n"/>
      <c r="I57" s="233">
        <f>VLOOKUP(F57,{"Ⅰ","121";"Ⅱ","187";"Ⅲ","307";"Ⅳ","542";"Ⅴ","789";"Ⅵ","1000"},2,0)</f>
        <v/>
      </c>
      <c r="J57" s="234" t="n"/>
      <c r="K57" s="234">
        <f>I57*H57*J57</f>
        <v/>
      </c>
      <c r="L57" s="43" t="inlineStr">
        <is>
          <t>甲级</t>
        </is>
      </c>
      <c r="M57" s="216">
        <f>VLOOKUP(L57,{"甲级","1.2";"乙级","1.0";"丙级","0.8"},2,0)</f>
        <v/>
      </c>
      <c r="N57" s="234">
        <f>K57*M57</f>
        <v/>
      </c>
      <c r="O57" s="234">
        <f>K57+N57</f>
        <v/>
      </c>
      <c r="P57" s="241" t="inlineStr">
        <is>
          <t>表3.3-2、表3.3-5</t>
        </is>
      </c>
      <c r="Q57" s="76" t="n"/>
      <c r="R57" s="77" t="n"/>
      <c r="S57" s="72" t="n"/>
      <c r="T57" s="72" t="n"/>
      <c r="U57" s="72" t="n"/>
      <c r="V57" s="72" t="n"/>
      <c r="W57" s="235" t="n"/>
      <c r="X57" s="72" t="n"/>
      <c r="Y57" s="190" t="n"/>
      <c r="Z57" s="190" t="n"/>
      <c r="AA57" s="190" t="n"/>
      <c r="AB57" s="190" t="n"/>
      <c r="AC57" s="190" t="n"/>
      <c r="AD57" s="236" t="n"/>
      <c r="AE57" s="190" t="n"/>
    </row>
    <row r="58" s="186">
      <c r="A58" s="47" t="n">
        <v>54</v>
      </c>
      <c r="B58" s="204" t="n"/>
      <c r="C58" s="204" t="n"/>
      <c r="D58" s="204" t="n"/>
      <c r="E58" s="54" t="inlineStr">
        <is>
          <t>80＜D≤100</t>
        </is>
      </c>
      <c r="F58" s="43" t="inlineStr">
        <is>
          <t>Ⅵ</t>
        </is>
      </c>
      <c r="G58" s="212" t="inlineStr">
        <is>
          <t>m</t>
        </is>
      </c>
      <c r="H58" s="212" t="n"/>
      <c r="I58" s="233">
        <f>VLOOKUP(F58,{"Ⅰ","132";"Ⅱ","204";"Ⅲ","335";"Ⅳ","592";"Ⅴ","862";"Ⅵ","1092"},2,0)</f>
        <v/>
      </c>
      <c r="J58" s="234" t="n"/>
      <c r="K58" s="234">
        <f>I58*H58*J58</f>
        <v/>
      </c>
      <c r="L58" s="43" t="inlineStr">
        <is>
          <t>甲级</t>
        </is>
      </c>
      <c r="M58" s="216">
        <f>VLOOKUP(L58,{"甲级","1.2";"乙级","1.0";"丙级","0.8"},2,0)</f>
        <v/>
      </c>
      <c r="N58" s="234">
        <f>K58*M58</f>
        <v/>
      </c>
      <c r="O58" s="234">
        <f>K58+N58</f>
        <v/>
      </c>
      <c r="P58" s="241" t="inlineStr">
        <is>
          <t>表3.3-2、表3.3-5</t>
        </is>
      </c>
      <c r="Q58" s="76" t="n"/>
      <c r="R58" s="77" t="n"/>
      <c r="S58" s="72" t="n"/>
      <c r="T58" s="72" t="n"/>
      <c r="U58" s="72" t="n"/>
      <c r="V58" s="72" t="n"/>
      <c r="W58" s="235" t="n"/>
      <c r="X58" s="72" t="n"/>
      <c r="Y58" s="190" t="n"/>
      <c r="Z58" s="190" t="n"/>
      <c r="AA58" s="190" t="n"/>
      <c r="AB58" s="190" t="n"/>
      <c r="AC58" s="190" t="n"/>
      <c r="AD58" s="236" t="n"/>
      <c r="AE58" s="190" t="n"/>
    </row>
    <row r="59" s="186">
      <c r="A59" s="43" t="n">
        <v>55</v>
      </c>
      <c r="B59" s="204" t="n"/>
      <c r="C59" s="204" t="n"/>
      <c r="D59" s="204" t="n"/>
      <c r="E59" s="54" t="inlineStr">
        <is>
          <t>100＜D≤120</t>
        </is>
      </c>
      <c r="F59" s="43">
        <f>F58</f>
        <v/>
      </c>
      <c r="G59" s="212" t="inlineStr">
        <is>
          <t>m</t>
        </is>
      </c>
      <c r="H59" s="212" t="n"/>
      <c r="I59" s="233">
        <f>I58*1.2</f>
        <v/>
      </c>
      <c r="J59" s="234" t="n"/>
      <c r="K59" s="234">
        <f>I59*H59*J59</f>
        <v/>
      </c>
      <c r="L59" s="43" t="inlineStr">
        <is>
          <t>甲级</t>
        </is>
      </c>
      <c r="M59" s="216">
        <f>VLOOKUP(L59,{"甲级","1.2";"乙级","1.0";"丙级","0.8"},2,0)</f>
        <v/>
      </c>
      <c r="N59" s="234">
        <f>K59*M59</f>
        <v/>
      </c>
      <c r="O59" s="234">
        <f>K59+N59</f>
        <v/>
      </c>
      <c r="P59" s="241" t="inlineStr">
        <is>
          <t>表3.3-2、表3.3-5</t>
        </is>
      </c>
      <c r="Q59" s="76" t="n"/>
      <c r="R59" s="77" t="n"/>
      <c r="S59" s="72" t="n"/>
      <c r="T59" s="72" t="n"/>
      <c r="U59" s="72" t="n"/>
      <c r="V59" s="72" t="n"/>
      <c r="W59" s="235" t="n"/>
      <c r="X59" s="72" t="n"/>
      <c r="Y59" s="190" t="n"/>
      <c r="Z59" s="190" t="n"/>
      <c r="AA59" s="190" t="n"/>
      <c r="AB59" s="190" t="n"/>
      <c r="AC59" s="190" t="n"/>
      <c r="AD59" s="236" t="n"/>
      <c r="AE59" s="190" t="n"/>
    </row>
    <row r="60" s="186">
      <c r="A60" s="47" t="n">
        <v>56</v>
      </c>
      <c r="B60" s="204" t="n"/>
      <c r="C60" s="204" t="n"/>
      <c r="D60" s="204" t="n"/>
      <c r="E60" s="54" t="inlineStr">
        <is>
          <t>120＜D≤140</t>
        </is>
      </c>
      <c r="F60" s="43">
        <f>F58</f>
        <v/>
      </c>
      <c r="G60" s="212" t="inlineStr">
        <is>
          <t>m</t>
        </is>
      </c>
      <c r="H60" s="212" t="n"/>
      <c r="I60" s="233">
        <f>I59*1.2</f>
        <v/>
      </c>
      <c r="J60" s="234" t="n"/>
      <c r="K60" s="234">
        <f>I60*H60*J60</f>
        <v/>
      </c>
      <c r="L60" s="43" t="inlineStr">
        <is>
          <t>甲级</t>
        </is>
      </c>
      <c r="M60" s="216">
        <f>VLOOKUP(L60,{"甲级","1.2";"乙级","1.0";"丙级","0.8"},2,0)</f>
        <v/>
      </c>
      <c r="N60" s="234">
        <f>K60*M60</f>
        <v/>
      </c>
      <c r="O60" s="234">
        <f>K60+N60</f>
        <v/>
      </c>
      <c r="P60" s="241" t="inlineStr">
        <is>
          <t>表3.3-2、表3.3-5</t>
        </is>
      </c>
      <c r="Q60" s="76" t="n"/>
      <c r="R60" s="77" t="n"/>
      <c r="S60" s="72" t="n"/>
      <c r="T60" s="72" t="n"/>
      <c r="U60" s="72" t="n"/>
      <c r="V60" s="72" t="n"/>
      <c r="W60" s="235" t="n"/>
      <c r="X60" s="72" t="n"/>
      <c r="Y60" s="190" t="n"/>
      <c r="Z60" s="190" t="n"/>
      <c r="AA60" s="190" t="n"/>
      <c r="AB60" s="190" t="n"/>
      <c r="AC60" s="190" t="n"/>
      <c r="AD60" s="236" t="n"/>
      <c r="AE60" s="190" t="n"/>
    </row>
    <row r="61" s="186">
      <c r="A61" s="43" t="n">
        <v>57</v>
      </c>
      <c r="B61" s="204" t="n"/>
      <c r="C61" s="204" t="n"/>
      <c r="D61" s="204" t="n"/>
      <c r="E61" s="54" t="inlineStr">
        <is>
          <t>140＜D≤160</t>
        </is>
      </c>
      <c r="F61" s="43">
        <f>F58</f>
        <v/>
      </c>
      <c r="G61" s="212" t="inlineStr">
        <is>
          <t>m</t>
        </is>
      </c>
      <c r="H61" s="212" t="n"/>
      <c r="I61" s="233">
        <f>I60*1.2</f>
        <v/>
      </c>
      <c r="J61" s="234" t="n"/>
      <c r="K61" s="234">
        <f>I61*H61*J61</f>
        <v/>
      </c>
      <c r="L61" s="43" t="inlineStr">
        <is>
          <t>甲级</t>
        </is>
      </c>
      <c r="M61" s="216">
        <f>VLOOKUP(L61,{"甲级","1.2";"乙级","1.0";"丙级","0.8"},2,0)</f>
        <v/>
      </c>
      <c r="N61" s="234">
        <f>K61*M61</f>
        <v/>
      </c>
      <c r="O61" s="234">
        <f>K61+N61</f>
        <v/>
      </c>
      <c r="P61" s="241" t="inlineStr">
        <is>
          <t>表3.3-2、表3.3-5</t>
        </is>
      </c>
      <c r="Q61" s="76" t="n"/>
      <c r="R61" s="77" t="n"/>
      <c r="S61" s="72" t="n"/>
      <c r="T61" s="72" t="n"/>
      <c r="U61" s="72" t="n"/>
      <c r="V61" s="72" t="n"/>
      <c r="W61" s="235" t="n"/>
      <c r="X61" s="72" t="n"/>
      <c r="Y61" s="190" t="n"/>
      <c r="Z61" s="190" t="n"/>
      <c r="AA61" s="190" t="n"/>
      <c r="AB61" s="190" t="n"/>
      <c r="AC61" s="190" t="n"/>
      <c r="AD61" s="236" t="n"/>
      <c r="AE61" s="190" t="n"/>
    </row>
    <row r="62" s="186">
      <c r="A62" s="47" t="n">
        <v>58</v>
      </c>
      <c r="B62" s="204" t="n"/>
      <c r="C62" s="204" t="n"/>
      <c r="D62" s="204" t="n"/>
      <c r="E62" s="54" t="inlineStr">
        <is>
          <t>160＜D≤180</t>
        </is>
      </c>
      <c r="F62" s="43">
        <f>F58</f>
        <v/>
      </c>
      <c r="G62" s="212" t="inlineStr">
        <is>
          <t>m</t>
        </is>
      </c>
      <c r="H62" s="212" t="n"/>
      <c r="I62" s="233">
        <f>I61*1.2</f>
        <v/>
      </c>
      <c r="J62" s="234" t="n"/>
      <c r="K62" s="234">
        <f>I62*H62*J62</f>
        <v/>
      </c>
      <c r="L62" s="43" t="inlineStr">
        <is>
          <t>甲级</t>
        </is>
      </c>
      <c r="M62" s="216">
        <f>VLOOKUP(L62,{"甲级","1.2";"乙级","1.0";"丙级","0.8"},2,0)</f>
        <v/>
      </c>
      <c r="N62" s="234">
        <f>K62*M62</f>
        <v/>
      </c>
      <c r="O62" s="234">
        <f>K62+N62</f>
        <v/>
      </c>
      <c r="P62" s="241" t="inlineStr">
        <is>
          <t>表3.3-2、表3.3-5</t>
        </is>
      </c>
      <c r="Q62" s="76" t="n"/>
      <c r="R62" s="77" t="n"/>
      <c r="S62" s="72" t="n"/>
      <c r="T62" s="72" t="n"/>
      <c r="U62" s="72" t="n"/>
      <c r="V62" s="72" t="n"/>
      <c r="W62" s="235" t="n"/>
      <c r="X62" s="72" t="n"/>
      <c r="Y62" s="190" t="n"/>
      <c r="Z62" s="190" t="n"/>
      <c r="AA62" s="190" t="n"/>
      <c r="AB62" s="190" t="n"/>
      <c r="AC62" s="190" t="n"/>
      <c r="AD62" s="236" t="n"/>
      <c r="AE62" s="190" t="n"/>
    </row>
    <row r="63" s="186">
      <c r="A63" s="43" t="n">
        <v>59</v>
      </c>
      <c r="B63" s="204" t="n"/>
      <c r="C63" s="197" t="n"/>
      <c r="D63" s="197" t="n"/>
      <c r="E63" s="54" t="inlineStr">
        <is>
          <t>180＜D≤200</t>
        </is>
      </c>
      <c r="F63" s="43">
        <f>F58</f>
        <v/>
      </c>
      <c r="G63" s="212" t="inlineStr">
        <is>
          <t>m</t>
        </is>
      </c>
      <c r="H63" s="212" t="n"/>
      <c r="I63" s="233">
        <f>I62*1.2</f>
        <v/>
      </c>
      <c r="J63" s="234" t="n"/>
      <c r="K63" s="234">
        <f>I63*H63*J63</f>
        <v/>
      </c>
      <c r="L63" s="43" t="inlineStr">
        <is>
          <t>甲级</t>
        </is>
      </c>
      <c r="M63" s="216">
        <f>VLOOKUP(L63,{"甲级","1.2";"乙级","1.0";"丙级","0.8"},2,0)</f>
        <v/>
      </c>
      <c r="N63" s="234">
        <f>K63*M63</f>
        <v/>
      </c>
      <c r="O63" s="234">
        <f>K63+N63</f>
        <v/>
      </c>
      <c r="P63" s="241" t="inlineStr">
        <is>
          <t>表3.3-2、表3.3-5</t>
        </is>
      </c>
      <c r="Q63" s="76" t="n"/>
      <c r="R63" s="77" t="n"/>
      <c r="S63" s="72" t="n"/>
      <c r="T63" s="72" t="n"/>
      <c r="U63" s="72" t="n"/>
      <c r="V63" s="72" t="n"/>
      <c r="W63" s="235" t="n"/>
      <c r="X63" s="72" t="n"/>
      <c r="Y63" s="190" t="n"/>
      <c r="Z63" s="190" t="n"/>
      <c r="AA63" s="190" t="n"/>
      <c r="AB63" s="190" t="n"/>
      <c r="AC63" s="190" t="n"/>
      <c r="AD63" s="236" t="n"/>
      <c r="AE63" s="190" t="n"/>
    </row>
    <row r="64" s="186">
      <c r="A64" s="47" t="n">
        <v>60</v>
      </c>
      <c r="B64" s="204" t="n"/>
      <c r="C64" s="53" t="inlineStr">
        <is>
          <t>探井</t>
        </is>
      </c>
      <c r="D64" s="243" t="n"/>
      <c r="E64" s="54" t="inlineStr">
        <is>
          <t>D≤2</t>
        </is>
      </c>
      <c r="F64" s="43" t="inlineStr">
        <is>
          <t>Ⅱ</t>
        </is>
      </c>
      <c r="G64" s="212" t="inlineStr">
        <is>
          <t>m</t>
        </is>
      </c>
      <c r="H64" s="212" t="n"/>
      <c r="I64" s="233">
        <f>VLOOKUP(F64,{"Ⅰ","50";"Ⅱ","63";"Ⅲ","78";"Ⅳ","125";"Ⅴ","200";"Ⅵ","250"},2,0)</f>
        <v/>
      </c>
      <c r="J64" s="234" t="n"/>
      <c r="K64" s="234">
        <f>I64*H64*J64</f>
        <v/>
      </c>
      <c r="L64" s="43" t="inlineStr">
        <is>
          <t>甲级</t>
        </is>
      </c>
      <c r="M64" s="216">
        <f>VLOOKUP(L64,{"甲级","1.2";"乙级","1.0";"丙级","0.8"},2,0)</f>
        <v/>
      </c>
      <c r="N64" s="234">
        <f>K64*M64</f>
        <v/>
      </c>
      <c r="O64" s="234">
        <f>K64+N64</f>
        <v/>
      </c>
      <c r="P64" s="241" t="inlineStr">
        <is>
          <t>表3.3-2、表3.3-5</t>
        </is>
      </c>
      <c r="Q64" s="76" t="n"/>
      <c r="R64" s="77" t="n"/>
      <c r="S64" s="72" t="n"/>
      <c r="T64" s="72" t="n"/>
      <c r="U64" s="72" t="n"/>
      <c r="V64" s="72" t="n"/>
      <c r="W64" s="235" t="n"/>
      <c r="X64" s="72" t="n"/>
      <c r="Y64" s="190" t="n"/>
      <c r="Z64" s="190" t="n"/>
      <c r="AA64" s="190" t="n"/>
      <c r="AB64" s="190" t="n"/>
      <c r="AC64" s="190" t="n"/>
      <c r="AD64" s="236" t="n"/>
      <c r="AE64" s="190" t="n"/>
    </row>
    <row r="65" s="186">
      <c r="A65" s="43" t="n">
        <v>61</v>
      </c>
      <c r="B65" s="204" t="n"/>
      <c r="C65" s="244" t="n"/>
      <c r="D65" s="245" t="n"/>
      <c r="E65" s="54" t="inlineStr">
        <is>
          <t>2＜D≤5</t>
        </is>
      </c>
      <c r="F65" s="43" t="inlineStr">
        <is>
          <t>Ⅲ</t>
        </is>
      </c>
      <c r="G65" s="212" t="inlineStr">
        <is>
          <t>m</t>
        </is>
      </c>
      <c r="H65" s="212" t="n"/>
      <c r="I65" s="233">
        <f>VLOOKUP(F65,{"Ⅰ","63";"Ⅱ","78";"Ⅲ","97";"Ⅳ","156";"Ⅴ","250";"Ⅵ","313"},2,0)</f>
        <v/>
      </c>
      <c r="J65" s="234" t="n"/>
      <c r="K65" s="234">
        <f>I65*H65*J65</f>
        <v/>
      </c>
      <c r="L65" s="43" t="inlineStr">
        <is>
          <t>甲级</t>
        </is>
      </c>
      <c r="M65" s="216">
        <f>VLOOKUP(L65,{"甲级","1.2";"乙级","1.0";"丙级","0.8"},2,0)</f>
        <v/>
      </c>
      <c r="N65" s="234">
        <f>K65*M65</f>
        <v/>
      </c>
      <c r="O65" s="234">
        <f>K65+N65</f>
        <v/>
      </c>
      <c r="P65" s="241" t="inlineStr">
        <is>
          <t>表3.3-2、表3.3-5</t>
        </is>
      </c>
      <c r="Q65" s="76" t="n"/>
      <c r="R65" s="77" t="n"/>
      <c r="S65" s="72" t="n"/>
      <c r="T65" s="72" t="n"/>
      <c r="U65" s="72" t="n"/>
      <c r="V65" s="72" t="n"/>
      <c r="W65" s="235" t="n"/>
      <c r="X65" s="72" t="n"/>
      <c r="Y65" s="190" t="n"/>
      <c r="Z65" s="190" t="n"/>
      <c r="AA65" s="190" t="n"/>
      <c r="AB65" s="190" t="n"/>
      <c r="AC65" s="190" t="n"/>
      <c r="AD65" s="236" t="n"/>
      <c r="AE65" s="190" t="n"/>
    </row>
    <row r="66" s="186">
      <c r="A66" s="47" t="n">
        <v>62</v>
      </c>
      <c r="B66" s="204" t="n"/>
      <c r="C66" s="244" t="n"/>
      <c r="D66" s="245" t="n"/>
      <c r="E66" s="54" t="inlineStr">
        <is>
          <t>5＜D≤10</t>
        </is>
      </c>
      <c r="F66" s="43" t="inlineStr">
        <is>
          <t>Ⅰ</t>
        </is>
      </c>
      <c r="G66" s="212" t="inlineStr">
        <is>
          <t>m</t>
        </is>
      </c>
      <c r="H66" s="212" t="n"/>
      <c r="I66" s="233">
        <f>VLOOKUP(F66,{"Ⅰ","78";"Ⅱ","97";"Ⅲ","120";"Ⅳ","194";"Ⅴ","310";"Ⅵ","388"},2,0)</f>
        <v/>
      </c>
      <c r="J66" s="234" t="n"/>
      <c r="K66" s="234">
        <f>I66*H66*J66</f>
        <v/>
      </c>
      <c r="L66" s="43" t="inlineStr">
        <is>
          <t>甲级</t>
        </is>
      </c>
      <c r="M66" s="216">
        <f>VLOOKUP(L66,{"甲级","1.2";"乙级","1.0";"丙级","0.8"},2,0)</f>
        <v/>
      </c>
      <c r="N66" s="234">
        <f>K66*M66</f>
        <v/>
      </c>
      <c r="O66" s="234">
        <f>K66+N66</f>
        <v/>
      </c>
      <c r="P66" s="241" t="inlineStr">
        <is>
          <t>表3.3-2、表3.3-5</t>
        </is>
      </c>
      <c r="Q66" s="76" t="n"/>
      <c r="R66" s="77" t="n"/>
      <c r="S66" s="72" t="n"/>
      <c r="T66" s="72" t="n"/>
      <c r="U66" s="72" t="n"/>
      <c r="V66" s="72" t="n"/>
      <c r="W66" s="235" t="n"/>
      <c r="X66" s="72" t="n"/>
      <c r="Y66" s="190" t="n"/>
      <c r="Z66" s="190" t="n"/>
      <c r="AA66" s="190" t="n"/>
      <c r="AB66" s="190" t="n"/>
      <c r="AC66" s="190" t="n"/>
      <c r="AD66" s="236" t="n"/>
      <c r="AE66" s="190" t="n"/>
    </row>
    <row r="67" s="186">
      <c r="A67" s="43" t="n">
        <v>63</v>
      </c>
      <c r="B67" s="204" t="n"/>
      <c r="C67" s="242" t="n"/>
      <c r="D67" s="246" t="n"/>
      <c r="E67" s="54" t="inlineStr">
        <is>
          <t>10＜D≤20</t>
        </is>
      </c>
      <c r="F67" s="43" t="inlineStr">
        <is>
          <t>Ⅰ</t>
        </is>
      </c>
      <c r="G67" s="212" t="inlineStr">
        <is>
          <t>m</t>
        </is>
      </c>
      <c r="H67" s="212" t="n"/>
      <c r="I67" s="233">
        <f>VLOOKUP(F67,{"Ⅰ","103";"Ⅱ","128";"Ⅲ","159";"Ⅳ","256";"Ⅴ","410";"Ⅵ","513"},2,0)</f>
        <v/>
      </c>
      <c r="J67" s="234" t="n"/>
      <c r="K67" s="234">
        <f>I67*H67*J67</f>
        <v/>
      </c>
      <c r="L67" s="43" t="inlineStr">
        <is>
          <t>甲级</t>
        </is>
      </c>
      <c r="M67" s="216">
        <f>VLOOKUP(L67,{"甲级","1.2";"乙级","1.0";"丙级","0.8"},2,0)</f>
        <v/>
      </c>
      <c r="N67" s="234">
        <f>K67*M67</f>
        <v/>
      </c>
      <c r="O67" s="234">
        <f>K67+N67</f>
        <v/>
      </c>
      <c r="P67" s="241" t="inlineStr">
        <is>
          <t>表3.3-2、表3.3-5</t>
        </is>
      </c>
      <c r="Q67" s="76" t="n"/>
      <c r="R67" s="77" t="n"/>
      <c r="S67" s="72" t="n"/>
      <c r="T67" s="72" t="n"/>
      <c r="U67" s="72" t="n"/>
      <c r="V67" s="72" t="n"/>
      <c r="W67" s="235" t="n"/>
      <c r="X67" s="72" t="n"/>
      <c r="Y67" s="190" t="n"/>
      <c r="Z67" s="190" t="n"/>
      <c r="AA67" s="190" t="n"/>
      <c r="AB67" s="190" t="n"/>
      <c r="AC67" s="190" t="n"/>
      <c r="AD67" s="236" t="n"/>
      <c r="AE67" s="190" t="n"/>
    </row>
    <row r="68" s="186">
      <c r="A68" s="47" t="n">
        <v>64</v>
      </c>
      <c r="B68" s="204" t="n"/>
      <c r="C68" s="53" t="inlineStr">
        <is>
          <t>探槽</t>
        </is>
      </c>
      <c r="D68" s="243" t="n"/>
      <c r="E68" s="54" t="inlineStr">
        <is>
          <t xml:space="preserve">   D≤2</t>
        </is>
      </c>
      <c r="F68" s="43" t="inlineStr">
        <is>
          <t>Ⅰ</t>
        </is>
      </c>
      <c r="G68" s="212" t="inlineStr">
        <is>
          <t>m3</t>
        </is>
      </c>
      <c r="H68" s="212" t="n"/>
      <c r="I68" s="233">
        <f>VLOOKUP(F68,{"Ⅰ","40";"Ⅱ","52";"Ⅲ","72";"Ⅳ","92";"Ⅴ","120";"Ⅵ","148"},2,0)</f>
        <v/>
      </c>
      <c r="J68" s="234" t="n"/>
      <c r="K68" s="234">
        <f>I68*H68*J68</f>
        <v/>
      </c>
      <c r="L68" s="43" t="inlineStr">
        <is>
          <t>甲级</t>
        </is>
      </c>
      <c r="M68" s="216">
        <f>VLOOKUP(L68,{"甲级","1.2";"乙级","1.0";"丙级","0.8"},2,0)</f>
        <v/>
      </c>
      <c r="N68" s="234">
        <f>K68*M68</f>
        <v/>
      </c>
      <c r="O68" s="234">
        <f>K68+N68</f>
        <v/>
      </c>
      <c r="P68" s="241" t="inlineStr">
        <is>
          <t>表3.3-2、表3.3-5</t>
        </is>
      </c>
      <c r="Q68" s="76" t="n"/>
      <c r="R68" s="77" t="n"/>
      <c r="S68" s="72" t="n"/>
      <c r="T68" s="72" t="n"/>
      <c r="U68" s="72" t="n"/>
      <c r="V68" s="72" t="n"/>
      <c r="W68" s="235" t="n"/>
      <c r="X68" s="72" t="n"/>
      <c r="Y68" s="190" t="n"/>
      <c r="Z68" s="190" t="n"/>
      <c r="AA68" s="190" t="n"/>
      <c r="AB68" s="190" t="n"/>
      <c r="AC68" s="190" t="n"/>
      <c r="AD68" s="236" t="n"/>
      <c r="AE68" s="190" t="n"/>
    </row>
    <row r="69" s="186">
      <c r="A69" s="43" t="n">
        <v>65</v>
      </c>
      <c r="B69" s="197" t="n"/>
      <c r="C69" s="242" t="n"/>
      <c r="D69" s="246" t="n"/>
      <c r="E69" s="54" t="inlineStr">
        <is>
          <t xml:space="preserve">   D＞2</t>
        </is>
      </c>
      <c r="F69" s="43" t="inlineStr">
        <is>
          <t>Ⅰ</t>
        </is>
      </c>
      <c r="G69" s="212" t="inlineStr">
        <is>
          <t>m3</t>
        </is>
      </c>
      <c r="H69" s="212" t="n"/>
      <c r="I69" s="233">
        <f>VLOOKUP(F69,{"Ⅰ","58";"Ⅱ","75";"Ⅲ","104";"Ⅳ","133";"Ⅴ","174";"Ⅵ","215"},2,0)</f>
        <v/>
      </c>
      <c r="J69" s="234" t="n"/>
      <c r="K69" s="234">
        <f>I69*H69*J69</f>
        <v/>
      </c>
      <c r="L69" s="43" t="inlineStr">
        <is>
          <t>甲级</t>
        </is>
      </c>
      <c r="M69" s="216">
        <f>VLOOKUP(L69,{"甲级","1.2";"乙级","1.0";"丙级","0.8"},2,0)</f>
        <v/>
      </c>
      <c r="N69" s="234">
        <f>K69*M69</f>
        <v/>
      </c>
      <c r="O69" s="234">
        <f>K69+N69</f>
        <v/>
      </c>
      <c r="P69" s="241" t="inlineStr">
        <is>
          <t>表3.3-2、表3.3-5</t>
        </is>
      </c>
      <c r="Q69" s="76" t="n"/>
      <c r="R69" s="77" t="n"/>
      <c r="S69" s="72" t="n"/>
      <c r="T69" s="72" t="n"/>
      <c r="U69" s="72" t="n"/>
      <c r="V69" s="72" t="n"/>
      <c r="W69" s="235" t="n"/>
      <c r="X69" s="72" t="n"/>
      <c r="Y69" s="190" t="n"/>
      <c r="Z69" s="190" t="n"/>
      <c r="AA69" s="190" t="n"/>
      <c r="AB69" s="190" t="n"/>
      <c r="AC69" s="190" t="n"/>
      <c r="AD69" s="236" t="n"/>
      <c r="AE69" s="190" t="n"/>
    </row>
    <row r="70" s="186">
      <c r="A70" s="47" t="n">
        <v>66</v>
      </c>
      <c r="B70" s="43" t="inlineStr">
        <is>
          <t>岩土
工程
勘察（取土水石试样）</t>
        </is>
      </c>
      <c r="C70" s="43" t="inlineStr">
        <is>
          <t>取样</t>
        </is>
      </c>
      <c r="D70" s="243" t="n"/>
      <c r="E70" s="43" t="inlineStr">
        <is>
          <t>钻孔取土样</t>
        </is>
      </c>
      <c r="F70" s="43" t="inlineStr">
        <is>
          <t>≤30m</t>
        </is>
      </c>
      <c r="G70" s="212" t="inlineStr">
        <is>
          <t>件</t>
        </is>
      </c>
      <c r="H70" s="212" t="n"/>
      <c r="I70" s="233">
        <f>IF(F70="≤30m",65,95)</f>
        <v/>
      </c>
      <c r="J70" s="234" t="n"/>
      <c r="K70" s="234">
        <f>I70*H70*J70</f>
        <v/>
      </c>
      <c r="L70" s="43" t="inlineStr">
        <is>
          <t>甲级</t>
        </is>
      </c>
      <c r="M70" s="216">
        <f>VLOOKUP(L70,{"甲级","1.2";"乙级","1.0";"丙级","0.8"},2,0)</f>
        <v/>
      </c>
      <c r="N70" s="234">
        <f>K70*M70</f>
        <v/>
      </c>
      <c r="O70" s="234">
        <f>K70+N70</f>
        <v/>
      </c>
      <c r="P70" s="241" t="inlineStr">
        <is>
          <t>表3.3-3、表3.3-5</t>
        </is>
      </c>
      <c r="Q70" s="76" t="n"/>
      <c r="R70" s="77" t="n"/>
      <c r="S70" s="72" t="n"/>
      <c r="T70" s="72" t="n"/>
      <c r="U70" s="72" t="n"/>
      <c r="V70" s="72" t="n"/>
      <c r="W70" s="235" t="n"/>
      <c r="X70" s="72" t="n"/>
      <c r="Y70" s="190" t="n"/>
      <c r="Z70" s="190" t="n"/>
      <c r="AA70" s="190" t="n"/>
      <c r="AB70" s="190" t="n"/>
      <c r="AC70" s="190" t="n"/>
      <c r="AD70" s="236" t="n"/>
      <c r="AE70" s="190" t="n"/>
    </row>
    <row r="71" s="186">
      <c r="A71" s="43" t="n">
        <v>67</v>
      </c>
      <c r="B71" s="204" t="n"/>
      <c r="C71" s="244" t="n"/>
      <c r="D71" s="245" t="n"/>
      <c r="E71" s="43" t="inlineStr">
        <is>
          <t>探井取土样</t>
        </is>
      </c>
      <c r="F71" s="43" t="inlineStr">
        <is>
          <t>≤30m</t>
        </is>
      </c>
      <c r="G71" s="212" t="inlineStr">
        <is>
          <t>件</t>
        </is>
      </c>
      <c r="H71" s="212" t="n"/>
      <c r="I71" s="233">
        <f>IF(F71="≤30m",100,150)</f>
        <v/>
      </c>
      <c r="J71" s="234" t="n"/>
      <c r="K71" s="234">
        <f>I71*H71*J71</f>
        <v/>
      </c>
      <c r="L71" s="43" t="inlineStr">
        <is>
          <t>甲级</t>
        </is>
      </c>
      <c r="M71" s="216">
        <f>VLOOKUP(L71,{"甲级","1.2";"乙级","1.0";"丙级","0.8"},2,0)</f>
        <v/>
      </c>
      <c r="N71" s="234">
        <f>K71*M71</f>
        <v/>
      </c>
      <c r="O71" s="234">
        <f>K71+N71</f>
        <v/>
      </c>
      <c r="P71" s="241" t="inlineStr">
        <is>
          <t>表3.3-3、表3.3-5</t>
        </is>
      </c>
      <c r="Q71" s="76" t="n"/>
      <c r="R71" s="77" t="n"/>
      <c r="S71" s="72" t="n"/>
      <c r="T71" s="72" t="n"/>
      <c r="U71" s="72" t="n"/>
      <c r="V71" s="72" t="n"/>
      <c r="W71" s="235" t="n"/>
      <c r="X71" s="72" t="n"/>
      <c r="Y71" s="190" t="n"/>
      <c r="Z71" s="190" t="n"/>
      <c r="AA71" s="190" t="n"/>
      <c r="AB71" s="190" t="n"/>
      <c r="AC71" s="190" t="n"/>
      <c r="AD71" s="236" t="n"/>
      <c r="AE71" s="190" t="n"/>
    </row>
    <row r="72" s="186">
      <c r="A72" s="47" t="n">
        <v>68</v>
      </c>
      <c r="B72" s="204" t="n"/>
      <c r="C72" s="244" t="n"/>
      <c r="D72" s="245" t="n"/>
      <c r="E72" s="43" t="inlineStr">
        <is>
          <t>取扰动样</t>
        </is>
      </c>
      <c r="F72" s="43" t="n"/>
      <c r="G72" s="212" t="inlineStr">
        <is>
          <t>件</t>
        </is>
      </c>
      <c r="H72" s="212" t="n"/>
      <c r="I72" s="233" t="n">
        <v>15</v>
      </c>
      <c r="J72" s="234" t="n"/>
      <c r="K72" s="234">
        <f>I72*H72*J72</f>
        <v/>
      </c>
      <c r="L72" s="43" t="inlineStr">
        <is>
          <t>甲级</t>
        </is>
      </c>
      <c r="M72" s="216">
        <f>VLOOKUP(L72,{"甲级","1.2";"乙级","1.0";"丙级","0.8"},2,0)</f>
        <v/>
      </c>
      <c r="N72" s="234">
        <f>K72*M72</f>
        <v/>
      </c>
      <c r="O72" s="234">
        <f>K72+N72</f>
        <v/>
      </c>
      <c r="P72" s="241" t="inlineStr">
        <is>
          <t>表3.3-3、表3.3-5</t>
        </is>
      </c>
      <c r="Q72" s="76" t="n"/>
      <c r="R72" s="77" t="n"/>
      <c r="S72" s="72" t="n"/>
      <c r="T72" s="72" t="n"/>
      <c r="U72" s="72" t="n"/>
      <c r="V72" s="72" t="n"/>
      <c r="W72" s="235" t="n"/>
      <c r="X72" s="72" t="n"/>
      <c r="Y72" s="190" t="n"/>
      <c r="Z72" s="190" t="n"/>
      <c r="AA72" s="190" t="n"/>
      <c r="AB72" s="190" t="n"/>
      <c r="AC72" s="190" t="n"/>
      <c r="AD72" s="236" t="n"/>
      <c r="AE72" s="190" t="n"/>
    </row>
    <row r="73" s="186">
      <c r="A73" s="43" t="n">
        <v>69</v>
      </c>
      <c r="B73" s="204" t="n"/>
      <c r="C73" s="244" t="n"/>
      <c r="D73" s="245" t="n"/>
      <c r="E73" s="43" t="inlineStr">
        <is>
          <t>岩芯取石样</t>
        </is>
      </c>
      <c r="F73" s="43" t="n"/>
      <c r="G73" s="212" t="inlineStr">
        <is>
          <t>件</t>
        </is>
      </c>
      <c r="H73" s="212" t="n"/>
      <c r="I73" s="233" t="n">
        <v>25</v>
      </c>
      <c r="J73" s="234" t="n"/>
      <c r="K73" s="234">
        <f>I73*H73*J73</f>
        <v/>
      </c>
      <c r="L73" s="43" t="inlineStr">
        <is>
          <t>甲级</t>
        </is>
      </c>
      <c r="M73" s="216">
        <f>VLOOKUP(L73,{"甲级","1.2";"乙级","1.0";"丙级","0.8"},2,0)</f>
        <v/>
      </c>
      <c r="N73" s="234">
        <f>K73*M73</f>
        <v/>
      </c>
      <c r="O73" s="234">
        <f>K73+N73</f>
        <v/>
      </c>
      <c r="P73" s="241" t="inlineStr">
        <is>
          <t>表3.3-3、表3.3-5</t>
        </is>
      </c>
      <c r="Q73" s="76" t="n"/>
      <c r="R73" s="77" t="n"/>
      <c r="S73" s="72" t="n"/>
      <c r="T73" s="72" t="n"/>
      <c r="U73" s="72" t="n"/>
      <c r="V73" s="72" t="n"/>
      <c r="W73" s="235" t="n"/>
      <c r="X73" s="72" t="n"/>
      <c r="Y73" s="190" t="n"/>
      <c r="Z73" s="190" t="n"/>
      <c r="AA73" s="190" t="n"/>
      <c r="AB73" s="190" t="n"/>
      <c r="AC73" s="190" t="n"/>
      <c r="AD73" s="236" t="n"/>
      <c r="AE73" s="190" t="n"/>
    </row>
    <row r="74" s="186">
      <c r="A74" s="47" t="n">
        <v>70</v>
      </c>
      <c r="B74" s="197" t="n"/>
      <c r="C74" s="242" t="n"/>
      <c r="D74" s="246" t="n"/>
      <c r="E74" s="43" t="inlineStr">
        <is>
          <t>水样</t>
        </is>
      </c>
      <c r="F74" s="43" t="n"/>
      <c r="G74" s="212" t="inlineStr">
        <is>
          <t>件</t>
        </is>
      </c>
      <c r="H74" s="212" t="n"/>
      <c r="I74" s="233" t="n">
        <v>40</v>
      </c>
      <c r="J74" s="234" t="n"/>
      <c r="K74" s="234">
        <f>I74*H74*J74</f>
        <v/>
      </c>
      <c r="L74" s="43" t="inlineStr">
        <is>
          <t>甲级</t>
        </is>
      </c>
      <c r="M74" s="216">
        <f>VLOOKUP(L74,{"甲级","1.2";"乙级","1.0";"丙级","0.8"},2,0)</f>
        <v/>
      </c>
      <c r="N74" s="234">
        <f>K74*M74</f>
        <v/>
      </c>
      <c r="O74" s="234">
        <f>K74+N74</f>
        <v/>
      </c>
      <c r="P74" s="241" t="inlineStr">
        <is>
          <t>表3.3-3、表3.3-5</t>
        </is>
      </c>
      <c r="Q74" s="76" t="n"/>
      <c r="R74" s="77" t="n"/>
      <c r="S74" s="72" t="n"/>
      <c r="T74" s="72" t="n"/>
      <c r="U74" s="72" t="n"/>
      <c r="V74" s="72" t="n"/>
      <c r="W74" s="235" t="n"/>
      <c r="X74" s="72" t="n"/>
      <c r="Y74" s="190" t="n"/>
      <c r="Z74" s="190" t="n"/>
      <c r="AA74" s="190" t="n"/>
      <c r="AB74" s="190" t="n"/>
      <c r="AC74" s="190" t="n"/>
      <c r="AD74" s="236" t="n"/>
      <c r="AE74" s="190" t="n"/>
    </row>
    <row r="75" s="186">
      <c r="A75" s="43" t="n">
        <v>71</v>
      </c>
      <c r="B75" s="43" t="inlineStr">
        <is>
          <t>岩土
工程
勘察（原位测试）</t>
        </is>
      </c>
      <c r="C75" s="43" t="inlineStr">
        <is>
          <t>标准贯入试验</t>
        </is>
      </c>
      <c r="D75" s="243" t="n"/>
      <c r="E75" s="54" t="inlineStr">
        <is>
          <t>D≤20</t>
        </is>
      </c>
      <c r="F75" s="43" t="inlineStr">
        <is>
          <t>Ⅲ</t>
        </is>
      </c>
      <c r="G75" s="212" t="inlineStr">
        <is>
          <t>次</t>
        </is>
      </c>
      <c r="H75" s="212" t="n"/>
      <c r="I75" s="233">
        <f>VLOOKUP(F75,{"Ⅰ","80";"Ⅱ","108";"Ⅲ","144"},2,0)</f>
        <v/>
      </c>
      <c r="J75" s="234" t="n"/>
      <c r="K75" s="234">
        <f>I75*H75*J75</f>
        <v/>
      </c>
      <c r="L75" s="43" t="inlineStr">
        <is>
          <t>甲级</t>
        </is>
      </c>
      <c r="M75" s="216">
        <f>VLOOKUP(L75,{"甲级","1.2";"乙级","1.0";"丙级","0.8"},2,0)</f>
        <v/>
      </c>
      <c r="N75" s="234">
        <f>K75*M75</f>
        <v/>
      </c>
      <c r="O75" s="234">
        <f>K75+N75</f>
        <v/>
      </c>
      <c r="P75" s="241" t="inlineStr">
        <is>
          <t>表3.3-4、表3.3-5</t>
        </is>
      </c>
      <c r="Q75" s="76" t="n"/>
      <c r="R75" s="77" t="n"/>
      <c r="S75" s="72" t="n"/>
      <c r="T75" s="72" t="n"/>
      <c r="U75" s="72" t="n"/>
      <c r="V75" s="72" t="n"/>
      <c r="W75" s="235" t="n"/>
      <c r="X75" s="72" t="n"/>
      <c r="Y75" s="190" t="n"/>
      <c r="Z75" s="190" t="n"/>
      <c r="AA75" s="190" t="n"/>
      <c r="AB75" s="190" t="n"/>
      <c r="AC75" s="190" t="n"/>
      <c r="AD75" s="236" t="n"/>
      <c r="AE75" s="190" t="n"/>
    </row>
    <row r="76" s="186">
      <c r="A76" s="47" t="n">
        <v>72</v>
      </c>
      <c r="B76" s="204" t="n"/>
      <c r="C76" s="244" t="n"/>
      <c r="D76" s="245" t="n"/>
      <c r="E76" s="54" t="inlineStr">
        <is>
          <t>20＜D≤50</t>
        </is>
      </c>
      <c r="F76" s="43" t="inlineStr">
        <is>
          <t>Ⅲ</t>
        </is>
      </c>
      <c r="G76" s="212" t="inlineStr">
        <is>
          <t>次</t>
        </is>
      </c>
      <c r="H76" s="212" t="n"/>
      <c r="I76" s="233">
        <f>VLOOKUP(F76,{"Ⅰ","120";"Ⅱ","162";"Ⅲ","216"},2,0)</f>
        <v/>
      </c>
      <c r="J76" s="234" t="n"/>
      <c r="K76" s="234">
        <f>I76*H76*J76</f>
        <v/>
      </c>
      <c r="L76" s="43" t="inlineStr">
        <is>
          <t>甲级</t>
        </is>
      </c>
      <c r="M76" s="216">
        <f>VLOOKUP(L76,{"甲级","1.2";"乙级","1.0";"丙级","0.8"},2,0)</f>
        <v/>
      </c>
      <c r="N76" s="234">
        <f>K76*M76</f>
        <v/>
      </c>
      <c r="O76" s="234">
        <f>K76+N76</f>
        <v/>
      </c>
      <c r="P76" s="241" t="inlineStr">
        <is>
          <t>表3.3-4、表3.3-5</t>
        </is>
      </c>
      <c r="Q76" s="76" t="n"/>
      <c r="R76" s="77" t="n"/>
      <c r="S76" s="72" t="n"/>
      <c r="T76" s="72" t="n"/>
      <c r="U76" s="72" t="n"/>
      <c r="V76" s="72" t="n"/>
      <c r="W76" s="235" t="n"/>
      <c r="X76" s="72" t="n"/>
      <c r="Y76" s="190" t="n"/>
      <c r="Z76" s="190" t="n"/>
      <c r="AA76" s="190" t="n"/>
      <c r="AB76" s="190" t="n"/>
      <c r="AC76" s="190" t="n"/>
      <c r="AD76" s="236" t="n"/>
      <c r="AE76" s="190" t="n"/>
    </row>
    <row r="77" s="186">
      <c r="A77" s="43" t="n">
        <v>73</v>
      </c>
      <c r="B77" s="204" t="n"/>
      <c r="C77" s="242" t="n"/>
      <c r="D77" s="246" t="n"/>
      <c r="E77" s="54" t="inlineStr">
        <is>
          <t>D＞50</t>
        </is>
      </c>
      <c r="F77" s="43" t="inlineStr">
        <is>
          <t>Ⅰ</t>
        </is>
      </c>
      <c r="G77" s="212" t="inlineStr">
        <is>
          <t>次</t>
        </is>
      </c>
      <c r="H77" s="212" t="n"/>
      <c r="I77" s="233">
        <f>VLOOKUP(F77,{"Ⅰ","144";"Ⅱ","194";"Ⅲ","259"},2,0)</f>
        <v/>
      </c>
      <c r="J77" s="234" t="n"/>
      <c r="K77" s="234">
        <f>I77*H77*J77</f>
        <v/>
      </c>
      <c r="L77" s="43" t="inlineStr">
        <is>
          <t>甲级</t>
        </is>
      </c>
      <c r="M77" s="216">
        <f>VLOOKUP(L77,{"甲级","1.2";"乙级","1.0";"丙级","0.8"},2,0)</f>
        <v/>
      </c>
      <c r="N77" s="234">
        <f>K77*M77</f>
        <v/>
      </c>
      <c r="O77" s="234">
        <f>K77+N77</f>
        <v/>
      </c>
      <c r="P77" s="241" t="inlineStr">
        <is>
          <t>表3.3-4、表3.3-5</t>
        </is>
      </c>
      <c r="Q77" s="76" t="n"/>
      <c r="R77" s="77" t="n"/>
      <c r="S77" s="72" t="n"/>
      <c r="T77" s="72" t="n"/>
      <c r="U77" s="72" t="n"/>
      <c r="V77" s="72" t="n"/>
      <c r="W77" s="235" t="n"/>
      <c r="X77" s="72" t="n"/>
      <c r="Y77" s="190" t="n"/>
      <c r="Z77" s="190" t="n"/>
      <c r="AA77" s="190" t="n"/>
      <c r="AB77" s="190" t="n"/>
      <c r="AC77" s="190" t="n"/>
      <c r="AD77" s="236" t="n"/>
      <c r="AE77" s="190" t="n"/>
    </row>
    <row r="78" s="186">
      <c r="A78" s="47" t="n">
        <v>74</v>
      </c>
      <c r="B78" s="204" t="n"/>
      <c r="C78" s="43" t="inlineStr">
        <is>
          <t>动力触探</t>
        </is>
      </c>
      <c r="D78" s="53" t="inlineStr">
        <is>
          <t>重型</t>
        </is>
      </c>
      <c r="E78" s="54" t="inlineStr">
        <is>
          <t>D≤10</t>
        </is>
      </c>
      <c r="F78" s="43" t="inlineStr">
        <is>
          <t>Ⅴ</t>
        </is>
      </c>
      <c r="G78" s="212" t="inlineStr">
        <is>
          <t>m</t>
        </is>
      </c>
      <c r="H78" s="212" t="n"/>
      <c r="I78" s="233">
        <f>VLOOKUP(F78,{"Ⅰ","50";"Ⅱ","78";"Ⅲ","128";"Ⅳ","300";"Ⅴ","375";"Ⅵ","425"},2,0)</f>
        <v/>
      </c>
      <c r="J78" s="234" t="n"/>
      <c r="K78" s="234">
        <f>I78*H78*J78</f>
        <v/>
      </c>
      <c r="L78" s="43" t="inlineStr">
        <is>
          <t>甲级</t>
        </is>
      </c>
      <c r="M78" s="216">
        <f>VLOOKUP(L78,{"甲级","1.2";"乙级","1.0";"丙级","0.8"},2,0)</f>
        <v/>
      </c>
      <c r="N78" s="234">
        <f>K78*M78</f>
        <v/>
      </c>
      <c r="O78" s="234">
        <f>K78+N78</f>
        <v/>
      </c>
      <c r="P78" s="241" t="inlineStr">
        <is>
          <t>表3.3-4、表3.3-5</t>
        </is>
      </c>
      <c r="Q78" s="76" t="n"/>
      <c r="R78" s="77" t="n"/>
      <c r="S78" s="72" t="n"/>
      <c r="T78" s="72" t="n"/>
      <c r="U78" s="72" t="n"/>
      <c r="V78" s="72" t="n"/>
      <c r="W78" s="235" t="n"/>
      <c r="X78" s="72" t="n"/>
      <c r="Y78" s="190" t="n"/>
      <c r="Z78" s="190" t="n"/>
      <c r="AA78" s="190" t="n"/>
      <c r="AB78" s="190" t="n"/>
      <c r="AC78" s="190" t="n"/>
      <c r="AD78" s="236" t="n"/>
      <c r="AE78" s="190" t="n"/>
    </row>
    <row r="79" s="186">
      <c r="A79" s="43" t="n">
        <v>75</v>
      </c>
      <c r="B79" s="204" t="n"/>
      <c r="C79" s="204" t="n"/>
      <c r="D79" s="204" t="n"/>
      <c r="E79" s="54" t="inlineStr">
        <is>
          <t>D≤10</t>
        </is>
      </c>
      <c r="F79" s="43" t="inlineStr">
        <is>
          <t>Ⅳ</t>
        </is>
      </c>
      <c r="G79" s="212" t="inlineStr">
        <is>
          <t>m</t>
        </is>
      </c>
      <c r="H79" s="212" t="n"/>
      <c r="I79" s="233">
        <f>VLOOKUP(F79,{"Ⅰ","50";"Ⅱ","78";"Ⅲ","128";"Ⅳ","300";"Ⅴ","375";"Ⅵ","425"},2,0)</f>
        <v/>
      </c>
      <c r="J79" s="234" t="n"/>
      <c r="K79" s="234">
        <f>I79*H79*J79</f>
        <v/>
      </c>
      <c r="L79" s="43" t="inlineStr">
        <is>
          <t>甲级</t>
        </is>
      </c>
      <c r="M79" s="216">
        <f>VLOOKUP(L79,{"甲级","1.2";"乙级","1.0";"丙级","0.8"},2,0)</f>
        <v/>
      </c>
      <c r="N79" s="234">
        <f>K79*M79</f>
        <v/>
      </c>
      <c r="O79" s="234">
        <f>K79+N79</f>
        <v/>
      </c>
      <c r="P79" s="241" t="inlineStr">
        <is>
          <t>表3.3-4、表3.3-5</t>
        </is>
      </c>
      <c r="Q79" s="76" t="n"/>
      <c r="R79" s="77" t="n"/>
      <c r="S79" s="72" t="n"/>
      <c r="T79" s="72" t="n"/>
      <c r="U79" s="72" t="n"/>
      <c r="V79" s="72" t="n"/>
      <c r="W79" s="235" t="n"/>
      <c r="X79" s="72" t="n"/>
      <c r="Y79" s="190" t="n"/>
      <c r="Z79" s="190" t="n"/>
      <c r="AA79" s="190" t="n"/>
      <c r="AB79" s="190" t="n"/>
      <c r="AC79" s="190" t="n"/>
      <c r="AD79" s="236" t="n"/>
      <c r="AE79" s="190" t="n"/>
    </row>
    <row r="80" s="186">
      <c r="A80" s="47" t="n">
        <v>76</v>
      </c>
      <c r="B80" s="204" t="n"/>
      <c r="C80" s="204" t="n"/>
      <c r="D80" s="204" t="n"/>
      <c r="E80" s="54" t="inlineStr">
        <is>
          <t>10＜D≤20</t>
        </is>
      </c>
      <c r="F80" s="43" t="inlineStr">
        <is>
          <t>Ⅳ</t>
        </is>
      </c>
      <c r="G80" s="212" t="inlineStr">
        <is>
          <t>m</t>
        </is>
      </c>
      <c r="H80" s="212" t="n"/>
      <c r="I80" s="233">
        <f>VLOOKUP(F80,{"Ⅰ","63";"Ⅱ","97";"Ⅲ","159";"Ⅳ","375";"Ⅴ","469";"Ⅵ","531"},2,0)</f>
        <v/>
      </c>
      <c r="J80" s="234" t="n"/>
      <c r="K80" s="234">
        <f>I80*H80*J80</f>
        <v/>
      </c>
      <c r="L80" s="43" t="inlineStr">
        <is>
          <t>甲级</t>
        </is>
      </c>
      <c r="M80" s="216">
        <f>VLOOKUP(L80,{"甲级","1.2";"乙级","1.0";"丙级","0.8"},2,0)</f>
        <v/>
      </c>
      <c r="N80" s="234">
        <f>K80*M80</f>
        <v/>
      </c>
      <c r="O80" s="234">
        <f>K80+N80</f>
        <v/>
      </c>
      <c r="P80" s="241" t="inlineStr">
        <is>
          <t>表3.3-4、表3.3-5</t>
        </is>
      </c>
      <c r="Q80" s="76" t="n"/>
      <c r="R80" s="77" t="n"/>
      <c r="S80" s="72" t="n"/>
      <c r="T80" s="72" t="n"/>
      <c r="U80" s="72" t="n"/>
      <c r="V80" s="72" t="n"/>
      <c r="W80" s="235" t="n"/>
      <c r="X80" s="72" t="n"/>
      <c r="Y80" s="190" t="n"/>
      <c r="Z80" s="190" t="n"/>
      <c r="AA80" s="190" t="n"/>
      <c r="AB80" s="190" t="n"/>
      <c r="AC80" s="190" t="n"/>
      <c r="AD80" s="236" t="n"/>
      <c r="AE80" s="190" t="n"/>
    </row>
    <row r="81" s="186">
      <c r="A81" s="43" t="n">
        <v>77</v>
      </c>
      <c r="B81" s="204" t="n"/>
      <c r="C81" s="204" t="n"/>
      <c r="D81" s="204" t="n"/>
      <c r="E81" s="54" t="inlineStr">
        <is>
          <t>10＜D≤20</t>
        </is>
      </c>
      <c r="F81" s="43" t="inlineStr">
        <is>
          <t>Ⅳ</t>
        </is>
      </c>
      <c r="G81" s="212" t="inlineStr">
        <is>
          <t>m</t>
        </is>
      </c>
      <c r="H81" s="212" t="n"/>
      <c r="I81" s="233">
        <f>VLOOKUP(F81,{"Ⅰ","63";"Ⅱ","97";"Ⅲ","159";"Ⅳ","375";"Ⅴ","469";"Ⅵ","531"},2,0)</f>
        <v/>
      </c>
      <c r="J81" s="234" t="n"/>
      <c r="K81" s="234">
        <f>I81*H81*J81</f>
        <v/>
      </c>
      <c r="L81" s="43" t="inlineStr">
        <is>
          <t>甲级</t>
        </is>
      </c>
      <c r="M81" s="216">
        <f>VLOOKUP(L81,{"甲级","1.2";"乙级","1.0";"丙级","0.8"},2,0)</f>
        <v/>
      </c>
      <c r="N81" s="234">
        <f>K81*M81</f>
        <v/>
      </c>
      <c r="O81" s="234">
        <f>K81+N81</f>
        <v/>
      </c>
      <c r="P81" s="241" t="inlineStr">
        <is>
          <t>表3.3-4、表3.3-5</t>
        </is>
      </c>
      <c r="Q81" s="76" t="n"/>
      <c r="R81" s="77" t="n"/>
      <c r="S81" s="72" t="n"/>
      <c r="T81" s="72" t="n"/>
      <c r="U81" s="72" t="n"/>
      <c r="V81" s="72" t="n"/>
      <c r="W81" s="235" t="n"/>
      <c r="X81" s="72" t="n"/>
      <c r="Y81" s="190" t="n"/>
      <c r="Z81" s="190" t="n"/>
      <c r="AA81" s="190" t="n"/>
      <c r="AB81" s="190" t="n"/>
      <c r="AC81" s="190" t="n"/>
      <c r="AD81" s="236" t="n"/>
      <c r="AE81" s="190" t="n"/>
    </row>
    <row r="82" s="186">
      <c r="A82" s="47" t="n">
        <v>78</v>
      </c>
      <c r="B82" s="204" t="n"/>
      <c r="C82" s="204" t="n"/>
      <c r="D82" s="204" t="n"/>
      <c r="E82" s="54" t="inlineStr">
        <is>
          <t>20＜D≤30</t>
        </is>
      </c>
      <c r="F82" s="43" t="inlineStr">
        <is>
          <t>Ⅰ</t>
        </is>
      </c>
      <c r="G82" s="212" t="inlineStr">
        <is>
          <t>m</t>
        </is>
      </c>
      <c r="H82" s="212" t="n"/>
      <c r="I82" s="233">
        <f>VLOOKUP(F82,{"Ⅰ","75";"Ⅱ","116";"Ⅲ","191";"Ⅳ","450";"Ⅴ","563";"Ⅵ","638"},2,0)</f>
        <v/>
      </c>
      <c r="J82" s="234" t="n"/>
      <c r="K82" s="234">
        <f>I82*H82*J82</f>
        <v/>
      </c>
      <c r="L82" s="43" t="inlineStr">
        <is>
          <t>甲级</t>
        </is>
      </c>
      <c r="M82" s="216">
        <f>VLOOKUP(L82,{"甲级","1.2";"乙级","1.0";"丙级","0.8"},2,0)</f>
        <v/>
      </c>
      <c r="N82" s="234">
        <f>K82*M82</f>
        <v/>
      </c>
      <c r="O82" s="234">
        <f>K82+N82</f>
        <v/>
      </c>
      <c r="P82" s="241" t="inlineStr">
        <is>
          <t>表3.3-4、表3.3-5</t>
        </is>
      </c>
      <c r="Q82" s="76" t="n"/>
      <c r="R82" s="77" t="n"/>
      <c r="S82" s="72" t="n"/>
      <c r="T82" s="72" t="n"/>
      <c r="U82" s="72" t="n"/>
      <c r="V82" s="72" t="n"/>
      <c r="W82" s="235" t="n"/>
      <c r="X82" s="72" t="n"/>
      <c r="Y82" s="190" t="n"/>
      <c r="Z82" s="190" t="n"/>
      <c r="AA82" s="190" t="n"/>
      <c r="AB82" s="190" t="n"/>
      <c r="AC82" s="190" t="n"/>
      <c r="AD82" s="236" t="n"/>
      <c r="AE82" s="190" t="n"/>
    </row>
    <row r="83" s="186">
      <c r="A83" s="43" t="n">
        <v>79</v>
      </c>
      <c r="B83" s="204" t="n"/>
      <c r="C83" s="204" t="n"/>
      <c r="D83" s="204" t="n"/>
      <c r="E83" s="54" t="inlineStr">
        <is>
          <t>30＜D≤40</t>
        </is>
      </c>
      <c r="F83" s="43" t="inlineStr">
        <is>
          <t>Ⅰ</t>
        </is>
      </c>
      <c r="G83" s="212" t="inlineStr">
        <is>
          <t>m</t>
        </is>
      </c>
      <c r="H83" s="212" t="n"/>
      <c r="I83" s="233">
        <f>VLOOKUP(F83,{"Ⅰ","89";"Ⅱ","138";"Ⅲ","227";"Ⅳ","534";"Ⅴ","668";"Ⅵ","757"},2,0)</f>
        <v/>
      </c>
      <c r="J83" s="234" t="n"/>
      <c r="K83" s="234">
        <f>I83*H83*J83</f>
        <v/>
      </c>
      <c r="L83" s="43" t="inlineStr">
        <is>
          <t>甲级</t>
        </is>
      </c>
      <c r="M83" s="216">
        <f>VLOOKUP(L83,{"甲级","1.2";"乙级","1.0";"丙级","0.8"},2,0)</f>
        <v/>
      </c>
      <c r="N83" s="234">
        <f>K83*M83</f>
        <v/>
      </c>
      <c r="O83" s="234">
        <f>K83+N83</f>
        <v/>
      </c>
      <c r="P83" s="241" t="inlineStr">
        <is>
          <t>表3.3-4、表3.3-5</t>
        </is>
      </c>
      <c r="Q83" s="78" t="n"/>
      <c r="R83" s="77" t="n"/>
      <c r="S83" s="72" t="n"/>
      <c r="T83" s="72" t="n"/>
      <c r="U83" s="72" t="n"/>
      <c r="V83" s="72" t="n"/>
      <c r="W83" s="235" t="n"/>
      <c r="X83" s="72" t="n"/>
      <c r="Y83" s="190" t="n"/>
      <c r="Z83" s="190" t="n"/>
      <c r="AA83" s="190" t="n"/>
      <c r="AB83" s="190" t="n"/>
      <c r="AC83" s="190" t="n"/>
      <c r="AD83" s="236" t="n"/>
      <c r="AE83" s="190" t="n"/>
    </row>
    <row r="84" s="186">
      <c r="A84" s="47" t="n">
        <v>80</v>
      </c>
      <c r="B84" s="204" t="n"/>
      <c r="C84" s="197" t="n"/>
      <c r="D84" s="197" t="n"/>
      <c r="E84" s="54" t="inlineStr">
        <is>
          <t>40＜D≤50</t>
        </is>
      </c>
      <c r="F84" s="43" t="inlineStr">
        <is>
          <t>Ⅰ</t>
        </is>
      </c>
      <c r="G84" s="212" t="inlineStr">
        <is>
          <t>m</t>
        </is>
      </c>
      <c r="H84" s="212" t="n"/>
      <c r="I84" s="233">
        <f>VLOOKUP(F84,{"Ⅰ","106";"Ⅱ","164";"Ⅲ","270";"Ⅳ","636";"Ⅴ","795";"Ⅵ","901"},2,0)</f>
        <v/>
      </c>
      <c r="J84" s="234" t="n"/>
      <c r="K84" s="234">
        <f>I84*H84*J84</f>
        <v/>
      </c>
      <c r="L84" s="43" t="inlineStr">
        <is>
          <t>甲级</t>
        </is>
      </c>
      <c r="M84" s="216">
        <f>VLOOKUP(L84,{"甲级","1.2";"乙级","1.0";"丙级","0.8"},2,0)</f>
        <v/>
      </c>
      <c r="N84" s="234">
        <f>K84*M84</f>
        <v/>
      </c>
      <c r="O84" s="234">
        <f>K84+N84</f>
        <v/>
      </c>
      <c r="P84" s="241" t="inlineStr">
        <is>
          <t>表3.3-4、表3.3-5</t>
        </is>
      </c>
      <c r="Q84" s="79" t="n"/>
      <c r="R84" s="77" t="n"/>
      <c r="S84" s="72" t="n"/>
      <c r="T84" s="72" t="n"/>
      <c r="U84" s="72" t="n"/>
      <c r="V84" s="72" t="n"/>
      <c r="W84" s="235" t="n"/>
      <c r="X84" s="72" t="n"/>
      <c r="Y84" s="190" t="n"/>
      <c r="Z84" s="190" t="n"/>
      <c r="AA84" s="190" t="n"/>
      <c r="AB84" s="190" t="n"/>
      <c r="AC84" s="190" t="n"/>
      <c r="AD84" s="236" t="n"/>
      <c r="AE84" s="190" t="n"/>
    </row>
    <row r="85" s="186">
      <c r="A85" s="43" t="n">
        <v>81</v>
      </c>
      <c r="B85" s="204" t="n"/>
      <c r="C85" s="43" t="inlineStr">
        <is>
          <t>静力触探</t>
        </is>
      </c>
      <c r="D85" s="53" t="inlineStr">
        <is>
          <t>双桥</t>
        </is>
      </c>
      <c r="E85" s="54" t="inlineStr">
        <is>
          <t>D≤10</t>
        </is>
      </c>
      <c r="F85" s="43" t="inlineStr">
        <is>
          <t>Ⅰ</t>
        </is>
      </c>
      <c r="G85" s="212" t="inlineStr">
        <is>
          <t>m</t>
        </is>
      </c>
      <c r="H85" s="212" t="n"/>
      <c r="I85" s="233">
        <f>VLOOKUP(F85,{"Ⅰ","39.10";"Ⅱ","56.35";"Ⅲ","94.30"},2,0)</f>
        <v/>
      </c>
      <c r="J85" s="234" t="n"/>
      <c r="K85" s="234">
        <f>I85*H85*J85</f>
        <v/>
      </c>
      <c r="L85" s="43" t="inlineStr">
        <is>
          <t>甲级</t>
        </is>
      </c>
      <c r="M85" s="216">
        <f>VLOOKUP(L85,{"甲级","1.2";"乙级","1.0";"丙级","0.8"},2,0)</f>
        <v/>
      </c>
      <c r="N85" s="234">
        <f>K85*M85</f>
        <v/>
      </c>
      <c r="O85" s="234">
        <f>K85+N85</f>
        <v/>
      </c>
      <c r="P85" s="241" t="inlineStr">
        <is>
          <t>表3.3-4、表3.3-5</t>
        </is>
      </c>
      <c r="Q85" s="79" t="n"/>
      <c r="R85" s="77" t="n"/>
      <c r="S85" s="72" t="n"/>
      <c r="T85" s="72" t="n"/>
      <c r="U85" s="72" t="n"/>
      <c r="V85" s="72" t="n"/>
      <c r="W85" s="235" t="n"/>
      <c r="X85" s="72" t="n"/>
      <c r="Y85" s="190" t="n"/>
      <c r="Z85" s="190" t="n"/>
      <c r="AA85" s="190" t="n"/>
      <c r="AB85" s="190" t="n"/>
      <c r="AC85" s="190" t="n"/>
      <c r="AD85" s="236" t="n"/>
      <c r="AE85" s="190" t="n"/>
    </row>
    <row r="86" s="186">
      <c r="A86" s="47" t="n">
        <v>82</v>
      </c>
      <c r="B86" s="204" t="n"/>
      <c r="C86" s="204" t="n"/>
      <c r="D86" s="204" t="n"/>
      <c r="E86" s="54" t="inlineStr">
        <is>
          <t>10＜D≤20</t>
        </is>
      </c>
      <c r="F86" s="43" t="inlineStr">
        <is>
          <t>Ⅰ</t>
        </is>
      </c>
      <c r="G86" s="212" t="inlineStr">
        <is>
          <t>m</t>
        </is>
      </c>
      <c r="H86" s="212" t="n"/>
      <c r="I86" s="233">
        <f>VLOOKUP(F86,{"Ⅰ","49.45";"Ⅱ","71.30";"Ⅲ","117.30"},2,0)</f>
        <v/>
      </c>
      <c r="J86" s="234" t="n"/>
      <c r="K86" s="234">
        <f>I86*H86*J86</f>
        <v/>
      </c>
      <c r="L86" s="43" t="inlineStr">
        <is>
          <t>甲级</t>
        </is>
      </c>
      <c r="M86" s="216">
        <f>VLOOKUP(L86,{"甲级","1.2";"乙级","1.0";"丙级","0.8"},2,0)</f>
        <v/>
      </c>
      <c r="N86" s="234">
        <f>K86*M86</f>
        <v/>
      </c>
      <c r="O86" s="234">
        <f>K86+N86</f>
        <v/>
      </c>
      <c r="P86" s="241" t="inlineStr">
        <is>
          <t>表3.3-4、表3.3-5</t>
        </is>
      </c>
      <c r="Q86" s="79" t="n"/>
      <c r="R86" s="77" t="n"/>
      <c r="S86" s="72" t="n"/>
      <c r="T86" s="72" t="n"/>
      <c r="U86" s="72" t="n"/>
      <c r="V86" s="72" t="n"/>
      <c r="W86" s="235" t="n"/>
      <c r="X86" s="72" t="n"/>
      <c r="Y86" s="190" t="n"/>
      <c r="Z86" s="190" t="n"/>
      <c r="AA86" s="190" t="n"/>
      <c r="AB86" s="190" t="n"/>
      <c r="AC86" s="190" t="n"/>
      <c r="AD86" s="236" t="n"/>
      <c r="AE86" s="190" t="n"/>
    </row>
    <row r="87" s="186">
      <c r="A87" s="43" t="n">
        <v>83</v>
      </c>
      <c r="B87" s="204" t="n"/>
      <c r="C87" s="204" t="n"/>
      <c r="D87" s="204" t="n"/>
      <c r="E87" s="54" t="inlineStr">
        <is>
          <t>20＜D≤30</t>
        </is>
      </c>
      <c r="F87" s="43" t="inlineStr">
        <is>
          <t>Ⅰ</t>
        </is>
      </c>
      <c r="G87" s="212" t="inlineStr">
        <is>
          <t>m</t>
        </is>
      </c>
      <c r="H87" s="212" t="n"/>
      <c r="I87" s="233">
        <f>VLOOKUP(F87,{"Ⅰ","58.65";"Ⅱ","85.10";"Ⅲ","140.30"},2,0)</f>
        <v/>
      </c>
      <c r="J87" s="234" t="n"/>
      <c r="K87" s="234">
        <f>I87*H87*J87</f>
        <v/>
      </c>
      <c r="L87" s="43" t="inlineStr">
        <is>
          <t>甲级</t>
        </is>
      </c>
      <c r="M87" s="216">
        <f>VLOOKUP(L87,{"甲级","1.2";"乙级","1.0";"丙级","0.8"},2,0)</f>
        <v/>
      </c>
      <c r="N87" s="234">
        <f>K87*M87</f>
        <v/>
      </c>
      <c r="O87" s="234">
        <f>K87+N87</f>
        <v/>
      </c>
      <c r="P87" s="241" t="inlineStr">
        <is>
          <t>表3.3-4、表3.3-5</t>
        </is>
      </c>
      <c r="Q87" s="76" t="n"/>
      <c r="R87" s="77" t="n"/>
      <c r="S87" s="72" t="n"/>
      <c r="T87" s="72" t="n"/>
      <c r="U87" s="72" t="n"/>
      <c r="V87" s="72" t="n"/>
      <c r="W87" s="235" t="n"/>
      <c r="X87" s="72" t="n"/>
      <c r="Y87" s="190" t="n"/>
      <c r="Z87" s="190" t="n"/>
      <c r="AA87" s="190" t="n"/>
      <c r="AB87" s="190" t="n"/>
      <c r="AC87" s="190" t="n"/>
      <c r="AD87" s="236" t="n"/>
      <c r="AE87" s="190" t="n"/>
    </row>
    <row r="88" s="186">
      <c r="A88" s="47" t="n">
        <v>84</v>
      </c>
      <c r="B88" s="204" t="n"/>
      <c r="C88" s="204" t="n"/>
      <c r="D88" s="204" t="n"/>
      <c r="E88" s="54" t="inlineStr">
        <is>
          <t>30＜D≤40</t>
        </is>
      </c>
      <c r="F88" s="43" t="inlineStr">
        <is>
          <t>Ⅰ</t>
        </is>
      </c>
      <c r="G88" s="212" t="inlineStr">
        <is>
          <t>m</t>
        </is>
      </c>
      <c r="H88" s="212" t="n"/>
      <c r="I88" s="233">
        <f>VLOOKUP(F88,{"Ⅰ","70.15";"Ⅱ","101.20";"Ⅲ","166.75"},2,0)</f>
        <v/>
      </c>
      <c r="J88" s="234" t="n"/>
      <c r="K88" s="234">
        <f>I88*H88*J88</f>
        <v/>
      </c>
      <c r="L88" s="43" t="inlineStr">
        <is>
          <t>甲级</t>
        </is>
      </c>
      <c r="M88" s="216">
        <f>VLOOKUP(L88,{"甲级","1.2";"乙级","1.0";"丙级","0.8"},2,0)</f>
        <v/>
      </c>
      <c r="N88" s="234">
        <f>K88*M88</f>
        <v/>
      </c>
      <c r="O88" s="234">
        <f>K88+N88</f>
        <v/>
      </c>
      <c r="P88" s="241" t="inlineStr">
        <is>
          <t>表3.3-4、表3.3-5</t>
        </is>
      </c>
      <c r="Q88" s="76" t="n"/>
      <c r="R88" s="77" t="n"/>
      <c r="S88" s="72" t="n"/>
      <c r="T88" s="72" t="n"/>
      <c r="U88" s="72" t="n"/>
      <c r="V88" s="72" t="n"/>
      <c r="W88" s="235" t="n"/>
      <c r="X88" s="72" t="n"/>
      <c r="Y88" s="190" t="n"/>
      <c r="Z88" s="190" t="n"/>
      <c r="AA88" s="190" t="n"/>
      <c r="AB88" s="190" t="n"/>
      <c r="AC88" s="190" t="n"/>
      <c r="AD88" s="236" t="n"/>
      <c r="AE88" s="190" t="n"/>
    </row>
    <row r="89" s="186">
      <c r="A89" s="43" t="n">
        <v>85</v>
      </c>
      <c r="B89" s="204" t="n"/>
      <c r="C89" s="204" t="n"/>
      <c r="D89" s="204" t="n"/>
      <c r="E89" s="54" t="inlineStr">
        <is>
          <t>40＜D≤50</t>
        </is>
      </c>
      <c r="F89" s="43" t="inlineStr">
        <is>
          <t>Ⅰ</t>
        </is>
      </c>
      <c r="G89" s="212" t="inlineStr">
        <is>
          <t>m</t>
        </is>
      </c>
      <c r="H89" s="212" t="n"/>
      <c r="I89" s="233">
        <f>VLOOKUP(F89,{"Ⅰ","82.80";"Ⅱ","120.75";"Ⅲ","198.95"},2,0)</f>
        <v/>
      </c>
      <c r="J89" s="234" t="n"/>
      <c r="K89" s="234">
        <f>I89*H89*J89</f>
        <v/>
      </c>
      <c r="L89" s="43" t="inlineStr">
        <is>
          <t>甲级</t>
        </is>
      </c>
      <c r="M89" s="216">
        <f>VLOOKUP(L89,{"甲级","1.2";"乙级","1.0";"丙级","0.8"},2,0)</f>
        <v/>
      </c>
      <c r="N89" s="234">
        <f>K89*M89</f>
        <v/>
      </c>
      <c r="O89" s="234">
        <f>K89+N89</f>
        <v/>
      </c>
      <c r="P89" s="241" t="inlineStr">
        <is>
          <t>表3.3-4、表3.3-5</t>
        </is>
      </c>
      <c r="Q89" s="76" t="n"/>
      <c r="R89" s="77" t="n"/>
      <c r="S89" s="72" t="n"/>
      <c r="T89" s="72" t="n"/>
      <c r="U89" s="72" t="n"/>
      <c r="V89" s="72" t="n"/>
      <c r="W89" s="235" t="n"/>
      <c r="X89" s="72" t="n"/>
      <c r="Y89" s="190" t="n"/>
      <c r="Z89" s="190" t="n"/>
      <c r="AA89" s="190" t="n"/>
      <c r="AB89" s="190" t="n"/>
      <c r="AC89" s="190" t="n"/>
      <c r="AD89" s="236" t="n"/>
      <c r="AE89" s="190" t="n"/>
    </row>
    <row r="90" s="186">
      <c r="A90" s="47" t="n">
        <v>86</v>
      </c>
      <c r="B90" s="204" t="n"/>
      <c r="C90" s="204" t="n"/>
      <c r="D90" s="204" t="n"/>
      <c r="E90" s="54" t="inlineStr">
        <is>
          <t>50＜D≤60</t>
        </is>
      </c>
      <c r="F90" s="43" t="inlineStr">
        <is>
          <t>Ⅰ</t>
        </is>
      </c>
      <c r="G90" s="212" t="inlineStr">
        <is>
          <t>m</t>
        </is>
      </c>
      <c r="H90" s="212" t="n"/>
      <c r="I90" s="233">
        <f>VLOOKUP(F90,{"Ⅰ","92";"Ⅱ","133.40";"Ⅲ","221.95"},2,0)</f>
        <v/>
      </c>
      <c r="J90" s="234" t="n"/>
      <c r="K90" s="234">
        <f>I90*H90*J90</f>
        <v/>
      </c>
      <c r="L90" s="43" t="inlineStr">
        <is>
          <t>甲级</t>
        </is>
      </c>
      <c r="M90" s="216">
        <f>VLOOKUP(L90,{"甲级","1.2";"乙级","1.0";"丙级","0.8"},2,0)</f>
        <v/>
      </c>
      <c r="N90" s="234">
        <f>K90*M90</f>
        <v/>
      </c>
      <c r="O90" s="234">
        <f>K90+N90</f>
        <v/>
      </c>
      <c r="P90" s="241" t="inlineStr">
        <is>
          <t>表3.3-4、表3.3-5</t>
        </is>
      </c>
      <c r="Q90" s="76" t="n"/>
      <c r="R90" s="77" t="n"/>
      <c r="S90" s="72" t="n"/>
      <c r="T90" s="72" t="n"/>
      <c r="U90" s="72" t="n"/>
      <c r="V90" s="72" t="n"/>
      <c r="W90" s="235" t="n"/>
      <c r="X90" s="72" t="n"/>
      <c r="Y90" s="190" t="n"/>
      <c r="Z90" s="190" t="n"/>
      <c r="AA90" s="190" t="n"/>
      <c r="AB90" s="190" t="n"/>
      <c r="AC90" s="190" t="n"/>
      <c r="AD90" s="236" t="n"/>
      <c r="AE90" s="190" t="n"/>
    </row>
    <row r="91" s="186">
      <c r="A91" s="43" t="n">
        <v>87</v>
      </c>
      <c r="B91" s="204" t="n"/>
      <c r="C91" s="197" t="n"/>
      <c r="D91" s="197" t="n"/>
      <c r="E91" s="54" t="inlineStr">
        <is>
          <t>60＜D≤80</t>
        </is>
      </c>
      <c r="F91" s="43" t="inlineStr">
        <is>
          <t>Ⅰ</t>
        </is>
      </c>
      <c r="G91" s="212" t="inlineStr">
        <is>
          <t>m</t>
        </is>
      </c>
      <c r="H91" s="212" t="n"/>
      <c r="I91" s="233">
        <f>VLOOKUP(F91,{"Ⅰ","102.35";"Ⅱ","148.35";"Ⅲ","246.10"},2,0)</f>
        <v/>
      </c>
      <c r="J91" s="234" t="n"/>
      <c r="K91" s="234">
        <f>I91*H91*J91</f>
        <v/>
      </c>
      <c r="L91" s="43" t="inlineStr">
        <is>
          <t>甲级</t>
        </is>
      </c>
      <c r="M91" s="216">
        <f>VLOOKUP(L91,{"甲级","1.2";"乙级","1.0";"丙级","0.8"},2,0)</f>
        <v/>
      </c>
      <c r="N91" s="234">
        <f>K91*M91</f>
        <v/>
      </c>
      <c r="O91" s="234">
        <f>K91+N91</f>
        <v/>
      </c>
      <c r="P91" s="241" t="inlineStr">
        <is>
          <t>表3.3-4、表3.3-5</t>
        </is>
      </c>
      <c r="Q91" s="76" t="n"/>
      <c r="R91" s="77" t="n"/>
      <c r="S91" s="72" t="n"/>
      <c r="T91" s="72" t="n"/>
      <c r="U91" s="72" t="n"/>
      <c r="V91" s="72" t="n"/>
      <c r="W91" s="235" t="n"/>
      <c r="X91" s="72" t="n"/>
      <c r="Y91" s="190" t="n"/>
      <c r="Z91" s="190" t="n"/>
      <c r="AA91" s="190" t="n"/>
      <c r="AB91" s="190" t="n"/>
      <c r="AC91" s="190" t="n"/>
      <c r="AD91" s="236" t="n"/>
      <c r="AE91" s="190" t="n"/>
    </row>
    <row r="92" s="186">
      <c r="A92" s="47" t="n">
        <v>88</v>
      </c>
      <c r="B92" s="204" t="n"/>
      <c r="C92" s="43" t="inlineStr">
        <is>
          <t>地应力测试</t>
        </is>
      </c>
      <c r="D92" s="53" t="inlineStr">
        <is>
          <t>压水致裂</t>
        </is>
      </c>
      <c r="E92" s="54" t="inlineStr">
        <is>
          <t>孔壁应变法</t>
        </is>
      </c>
      <c r="F92" s="43" t="n"/>
      <c r="G92" s="212" t="inlineStr">
        <is>
          <t>孔</t>
        </is>
      </c>
      <c r="H92" s="212" t="n"/>
      <c r="I92" s="233" t="n">
        <v>35100</v>
      </c>
      <c r="J92" s="234" t="n"/>
      <c r="K92" s="234">
        <f>I92*H92*J92</f>
        <v/>
      </c>
      <c r="L92" s="43" t="inlineStr">
        <is>
          <t>甲级</t>
        </is>
      </c>
      <c r="M92" s="216">
        <f>VLOOKUP(L92,{"甲级","1.2";"乙级","1.0";"丙级","0.8"},2,0)</f>
        <v/>
      </c>
      <c r="N92" s="234">
        <f>K92*M92</f>
        <v/>
      </c>
      <c r="O92" s="234">
        <f>K92+N92</f>
        <v/>
      </c>
      <c r="P92" s="241" t="inlineStr">
        <is>
          <t>表3.3-4、表3.3-5</t>
        </is>
      </c>
      <c r="Q92" s="76" t="n"/>
      <c r="R92" s="77" t="n"/>
      <c r="S92" s="72" t="n"/>
      <c r="T92" s="72" t="n"/>
      <c r="U92" s="72" t="n"/>
      <c r="V92" s="72" t="n"/>
      <c r="W92" s="235" t="n"/>
      <c r="X92" s="72" t="n"/>
      <c r="Y92" s="190" t="n"/>
      <c r="Z92" s="190" t="n"/>
      <c r="AA92" s="190" t="n"/>
      <c r="AB92" s="190" t="n"/>
      <c r="AC92" s="190" t="n"/>
      <c r="AD92" s="236" t="n"/>
      <c r="AE92" s="190" t="n"/>
    </row>
    <row r="93" s="186">
      <c r="A93" s="43" t="n">
        <v>89</v>
      </c>
      <c r="B93" s="204" t="n"/>
      <c r="C93" s="43" t="inlineStr">
        <is>
          <t>压注水试验</t>
        </is>
      </c>
      <c r="D93" s="53" t="inlineStr">
        <is>
          <t>压水</t>
        </is>
      </c>
      <c r="E93" s="54" t="inlineStr">
        <is>
          <t>D≤20</t>
        </is>
      </c>
      <c r="F93" s="43" t="n"/>
      <c r="G93" s="212" t="inlineStr">
        <is>
          <t>段次</t>
        </is>
      </c>
      <c r="H93" s="212" t="n"/>
      <c r="I93" s="233" t="n">
        <v>1753</v>
      </c>
      <c r="J93" s="234" t="n"/>
      <c r="K93" s="234">
        <f>I93*H93*J93</f>
        <v/>
      </c>
      <c r="L93" s="43" t="inlineStr">
        <is>
          <t>甲级</t>
        </is>
      </c>
      <c r="M93" s="216">
        <f>VLOOKUP(L93,{"甲级","1.2";"乙级","1.0";"丙级","0.8"},2,0)</f>
        <v/>
      </c>
      <c r="N93" s="234">
        <f>K93*M93</f>
        <v/>
      </c>
      <c r="O93" s="234">
        <f>K93+N93</f>
        <v/>
      </c>
      <c r="P93" s="241" t="inlineStr">
        <is>
          <t>表3.3-4、表3.3-5</t>
        </is>
      </c>
      <c r="Q93" s="76" t="n"/>
      <c r="R93" s="77" t="n"/>
      <c r="S93" s="72" t="n"/>
      <c r="T93" s="72" t="n"/>
      <c r="U93" s="72" t="n"/>
      <c r="V93" s="72" t="n"/>
      <c r="W93" s="235" t="n"/>
      <c r="X93" s="72" t="n"/>
      <c r="Y93" s="190" t="n"/>
      <c r="Z93" s="190" t="n"/>
      <c r="AA93" s="190" t="n"/>
      <c r="AB93" s="190" t="n"/>
      <c r="AC93" s="190" t="n"/>
      <c r="AD93" s="236" t="n"/>
      <c r="AE93" s="190" t="n"/>
    </row>
    <row r="94" s="186">
      <c r="A94" s="47" t="n">
        <v>90</v>
      </c>
      <c r="B94" s="204" t="n"/>
      <c r="C94" s="204" t="n"/>
      <c r="D94" s="197" t="n"/>
      <c r="E94" s="54" t="inlineStr">
        <is>
          <t>D＞20</t>
        </is>
      </c>
      <c r="F94" s="43" t="n"/>
      <c r="G94" s="212" t="inlineStr">
        <is>
          <t>段次</t>
        </is>
      </c>
      <c r="H94" s="212" t="n"/>
      <c r="I94" s="233" t="n">
        <v>2104</v>
      </c>
      <c r="J94" s="234" t="n"/>
      <c r="K94" s="234">
        <f>I94*H94*J94</f>
        <v/>
      </c>
      <c r="L94" s="43" t="inlineStr">
        <is>
          <t>甲级</t>
        </is>
      </c>
      <c r="M94" s="216">
        <f>VLOOKUP(L94,{"甲级","1.2";"乙级","1.0";"丙级","0.8"},2,0)</f>
        <v/>
      </c>
      <c r="N94" s="234">
        <f>K94*M94</f>
        <v/>
      </c>
      <c r="O94" s="234">
        <f>K94+N94</f>
        <v/>
      </c>
      <c r="P94" s="241" t="inlineStr">
        <is>
          <t>表3.3-4、表3.3-5</t>
        </is>
      </c>
      <c r="Q94" s="76" t="n"/>
      <c r="R94" s="77" t="n"/>
      <c r="S94" s="72" t="n"/>
      <c r="T94" s="72" t="n"/>
      <c r="U94" s="72" t="n"/>
      <c r="V94" s="72" t="n"/>
      <c r="W94" s="235" t="n"/>
      <c r="X94" s="72" t="n"/>
      <c r="Y94" s="190" t="n"/>
      <c r="Z94" s="190" t="n"/>
      <c r="AA94" s="190" t="n"/>
      <c r="AB94" s="190" t="n"/>
      <c r="AC94" s="190" t="n"/>
      <c r="AD94" s="236" t="n"/>
      <c r="AE94" s="190" t="n"/>
    </row>
    <row r="95" s="186">
      <c r="A95" s="43" t="n">
        <v>91</v>
      </c>
      <c r="B95" s="204" t="n"/>
      <c r="C95" s="204" t="n"/>
      <c r="D95" s="53" t="inlineStr">
        <is>
          <t>注水</t>
        </is>
      </c>
      <c r="E95" s="54" t="inlineStr">
        <is>
          <t>钻孔注水</t>
        </is>
      </c>
      <c r="F95" s="43" t="n"/>
      <c r="G95" s="212" t="inlineStr">
        <is>
          <t>段次</t>
        </is>
      </c>
      <c r="H95" s="212" t="n"/>
      <c r="I95" s="233" t="n">
        <v>409</v>
      </c>
      <c r="J95" s="234" t="n"/>
      <c r="K95" s="234">
        <f>I95*H95*J95</f>
        <v/>
      </c>
      <c r="L95" s="43" t="inlineStr">
        <is>
          <t>甲级</t>
        </is>
      </c>
      <c r="M95" s="216">
        <f>VLOOKUP(L95,{"甲级","1.2";"乙级","1.0";"丙级","0.8"},2,0)</f>
        <v/>
      </c>
      <c r="N95" s="234">
        <f>K95*M95</f>
        <v/>
      </c>
      <c r="O95" s="234">
        <f>K95+N95</f>
        <v/>
      </c>
      <c r="P95" s="241" t="inlineStr">
        <is>
          <t>表3.3-4、表3.3-5</t>
        </is>
      </c>
      <c r="Q95" s="76" t="n"/>
      <c r="R95" s="77" t="n"/>
      <c r="S95" s="72" t="n"/>
      <c r="T95" s="72" t="n"/>
      <c r="U95" s="72" t="n"/>
      <c r="V95" s="72" t="n"/>
      <c r="W95" s="235" t="n"/>
      <c r="X95" s="72" t="n"/>
      <c r="Y95" s="190" t="n"/>
      <c r="Z95" s="190" t="n"/>
      <c r="AA95" s="190" t="n"/>
      <c r="AB95" s="190" t="n"/>
      <c r="AC95" s="190" t="n"/>
      <c r="AD95" s="236" t="n"/>
      <c r="AE95" s="190" t="n"/>
    </row>
    <row r="96" s="186">
      <c r="A96" s="47" t="n">
        <v>92</v>
      </c>
      <c r="B96" s="197" t="n"/>
      <c r="C96" s="197" t="n"/>
      <c r="D96" s="197" t="n"/>
      <c r="E96" s="54" t="inlineStr">
        <is>
          <t>探井注水</t>
        </is>
      </c>
      <c r="F96" s="43" t="n"/>
      <c r="G96" s="212" t="inlineStr">
        <is>
          <t>段次</t>
        </is>
      </c>
      <c r="H96" s="212" t="n"/>
      <c r="I96" s="233" t="n">
        <v>205</v>
      </c>
      <c r="J96" s="234" t="n"/>
      <c r="K96" s="234">
        <f>I96*H96*J96</f>
        <v/>
      </c>
      <c r="L96" s="43" t="inlineStr">
        <is>
          <t>甲级</t>
        </is>
      </c>
      <c r="M96" s="216">
        <f>VLOOKUP(L96,{"甲级","1.2";"乙级","1.0";"丙级","0.8"},2,0)</f>
        <v/>
      </c>
      <c r="N96" s="234">
        <f>K96*M96</f>
        <v/>
      </c>
      <c r="O96" s="234">
        <f>K96+N96</f>
        <v/>
      </c>
      <c r="P96" s="241" t="inlineStr">
        <is>
          <t>表3.3-4、表3.3-5</t>
        </is>
      </c>
      <c r="Q96" s="76" t="n"/>
      <c r="R96" s="77" t="n"/>
      <c r="S96" s="72" t="n"/>
      <c r="T96" s="72" t="n"/>
      <c r="U96" s="72" t="n"/>
      <c r="V96" s="72" t="n"/>
      <c r="W96" s="235" t="n"/>
      <c r="X96" s="72" t="n"/>
      <c r="Y96" s="190" t="n"/>
      <c r="Z96" s="190" t="n"/>
      <c r="AA96" s="190" t="n"/>
      <c r="AB96" s="190" t="n"/>
      <c r="AC96" s="190" t="n"/>
      <c r="AD96" s="236" t="n"/>
      <c r="AE96" s="190" t="n"/>
    </row>
    <row r="97" s="186">
      <c r="A97" s="43" t="n">
        <v>93</v>
      </c>
      <c r="B97" s="48" t="inlineStr">
        <is>
          <t>水文
地质
勘察</t>
        </is>
      </c>
      <c r="C97" s="43" t="inlineStr">
        <is>
          <t>抽水试验</t>
        </is>
      </c>
      <c r="D97" s="53" t="n"/>
      <c r="E97" s="54" t="inlineStr">
        <is>
          <t>利用钻孔抽水</t>
        </is>
      </c>
      <c r="F97" s="43" t="n"/>
      <c r="G97" s="212" t="inlineStr">
        <is>
          <t>台班</t>
        </is>
      </c>
      <c r="H97" s="212" t="n"/>
      <c r="I97" s="233" t="n">
        <v>840</v>
      </c>
      <c r="J97" s="234" t="n"/>
      <c r="K97" s="234">
        <f>I97*H97*J97</f>
        <v/>
      </c>
      <c r="L97" s="43" t="inlineStr">
        <is>
          <t>复杂</t>
        </is>
      </c>
      <c r="M97" s="216">
        <f>VLOOKUP(L97,{"简单","0.27";"中等","0.30";"复杂","0.33"},2,0)</f>
        <v/>
      </c>
      <c r="N97" s="234">
        <f>K97*M97</f>
        <v/>
      </c>
      <c r="O97" s="234">
        <f>K97+N97</f>
        <v/>
      </c>
      <c r="P97" s="241" t="inlineStr">
        <is>
          <t>表5.5-1</t>
        </is>
      </c>
      <c r="Q97" s="76" t="n"/>
      <c r="R97" s="77" t="n"/>
      <c r="S97" s="72" t="n"/>
      <c r="T97" s="72" t="n"/>
      <c r="U97" s="72" t="n"/>
      <c r="V97" s="72" t="n"/>
      <c r="W97" s="235" t="n"/>
      <c r="X97" s="72" t="n"/>
      <c r="Y97" s="190" t="n"/>
      <c r="Z97" s="190" t="n"/>
      <c r="AA97" s="190" t="n"/>
      <c r="AB97" s="190" t="n"/>
      <c r="AC97" s="190" t="n"/>
      <c r="AD97" s="236" t="n"/>
      <c r="AE97" s="190" t="n"/>
    </row>
    <row r="98" s="186">
      <c r="A98" s="47" t="n">
        <v>94</v>
      </c>
      <c r="B98" s="204" t="n"/>
      <c r="C98" s="43" t="inlineStr">
        <is>
          <t>地下水位（温）观测</t>
        </is>
      </c>
      <c r="D98" s="54" t="inlineStr">
        <is>
          <t>试验观测孔</t>
        </is>
      </c>
      <c r="E98" s="196" t="n"/>
      <c r="F98" s="43" t="n"/>
      <c r="G98" s="212" t="inlineStr">
        <is>
          <t>台班</t>
        </is>
      </c>
      <c r="H98" s="212" t="n"/>
      <c r="I98" s="233" t="n">
        <v>170</v>
      </c>
      <c r="J98" s="234" t="n"/>
      <c r="K98" s="234">
        <f>I98*H98*J98</f>
        <v/>
      </c>
      <c r="L98" s="43" t="inlineStr">
        <is>
          <t>复杂</t>
        </is>
      </c>
      <c r="M98" s="216">
        <f>VLOOKUP(L98,{"简单","0.27";"中等","0.30";"复杂","0.33"},2,0)</f>
        <v/>
      </c>
      <c r="N98" s="234">
        <f>K98*M98</f>
        <v/>
      </c>
      <c r="O98" s="234">
        <f>K98+N98</f>
        <v/>
      </c>
      <c r="P98" s="241" t="inlineStr">
        <is>
          <t>表5.5-1</t>
        </is>
      </c>
      <c r="Q98" s="76" t="n"/>
      <c r="R98" s="77" t="n"/>
      <c r="S98" s="72" t="n"/>
      <c r="T98" s="72" t="n"/>
      <c r="U98" s="72" t="n"/>
      <c r="V98" s="72" t="n"/>
      <c r="W98" s="235" t="n"/>
      <c r="X98" s="72" t="n"/>
      <c r="Y98" s="190" t="n"/>
      <c r="Z98" s="190" t="n"/>
      <c r="AA98" s="190" t="n"/>
      <c r="AB98" s="190" t="n"/>
      <c r="AC98" s="190" t="n"/>
      <c r="AD98" s="236" t="n"/>
      <c r="AE98" s="190" t="n"/>
    </row>
    <row r="99" s="186">
      <c r="A99" s="43" t="n">
        <v>95</v>
      </c>
      <c r="B99" s="204" t="n"/>
      <c r="C99" s="204" t="n"/>
      <c r="D99" s="87" t="inlineStr">
        <is>
          <t>动态观测距离L
（km）</t>
        </is>
      </c>
      <c r="E99" s="54" t="inlineStr">
        <is>
          <t>L≤5</t>
        </is>
      </c>
      <c r="F99" s="43" t="n"/>
      <c r="G99" s="212" t="inlineStr">
        <is>
          <t>次</t>
        </is>
      </c>
      <c r="H99" s="212" t="n"/>
      <c r="I99" s="233" t="n">
        <v>20</v>
      </c>
      <c r="J99" s="234" t="n"/>
      <c r="K99" s="234">
        <f>I99*H99*J99</f>
        <v/>
      </c>
      <c r="L99" s="43" t="inlineStr">
        <is>
          <t>复杂</t>
        </is>
      </c>
      <c r="M99" s="216">
        <f>VLOOKUP(L99,{"简单","0.27";"中等","0.30";"复杂","0.33"},2,0)</f>
        <v/>
      </c>
      <c r="N99" s="234">
        <f>K99*M99</f>
        <v/>
      </c>
      <c r="O99" s="234">
        <f>K99+N99</f>
        <v/>
      </c>
      <c r="P99" s="241" t="inlineStr">
        <is>
          <t>表5.5-1</t>
        </is>
      </c>
      <c r="Q99" s="76" t="n"/>
      <c r="R99" s="77" t="n"/>
      <c r="S99" s="72" t="n"/>
      <c r="T99" s="72" t="n"/>
      <c r="U99" s="72" t="n"/>
      <c r="V99" s="72" t="n"/>
      <c r="W99" s="235" t="n"/>
      <c r="X99" s="72" t="n"/>
      <c r="Y99" s="190" t="n"/>
      <c r="Z99" s="190" t="n"/>
      <c r="AA99" s="190" t="n"/>
      <c r="AB99" s="190" t="n"/>
      <c r="AC99" s="190" t="n"/>
      <c r="AD99" s="236" t="n"/>
      <c r="AE99" s="190" t="n"/>
    </row>
    <row r="100" s="186">
      <c r="A100" s="47" t="n">
        <v>96</v>
      </c>
      <c r="B100" s="204" t="n"/>
      <c r="C100" s="204" t="n"/>
      <c r="D100" s="204" t="n"/>
      <c r="E100" s="54" t="inlineStr">
        <is>
          <t>5＜L≤10</t>
        </is>
      </c>
      <c r="F100" s="43" t="n"/>
      <c r="G100" s="212" t="inlineStr">
        <is>
          <t>次</t>
        </is>
      </c>
      <c r="H100" s="212" t="n"/>
      <c r="I100" s="233" t="n">
        <v>40</v>
      </c>
      <c r="J100" s="234" t="n"/>
      <c r="K100" s="234">
        <f>I100*H100*J100</f>
        <v/>
      </c>
      <c r="L100" s="43" t="inlineStr">
        <is>
          <t>复杂</t>
        </is>
      </c>
      <c r="M100" s="216">
        <f>VLOOKUP(L100,{"简单","0.27";"中等","0.30";"复杂","0.33"},2,0)</f>
        <v/>
      </c>
      <c r="N100" s="234">
        <f>K100*M100</f>
        <v/>
      </c>
      <c r="O100" s="234">
        <f>K100+N100</f>
        <v/>
      </c>
      <c r="P100" s="241" t="inlineStr">
        <is>
          <t>表5.5-1</t>
        </is>
      </c>
      <c r="Q100" s="76" t="n"/>
      <c r="R100" s="77" t="n"/>
      <c r="S100" s="72" t="n"/>
      <c r="T100" s="72" t="n"/>
      <c r="U100" s="72" t="n"/>
      <c r="V100" s="72" t="n"/>
      <c r="W100" s="235" t="n"/>
      <c r="X100" s="72" t="n"/>
      <c r="Y100" s="190" t="n"/>
      <c r="Z100" s="190" t="n"/>
      <c r="AA100" s="190" t="n"/>
      <c r="AB100" s="190" t="n"/>
      <c r="AC100" s="190" t="n"/>
      <c r="AD100" s="236" t="n"/>
      <c r="AE100" s="190" t="n"/>
    </row>
    <row r="101" s="186">
      <c r="A101" s="43" t="n">
        <v>97</v>
      </c>
      <c r="B101" s="204" t="n"/>
      <c r="C101" s="197" t="n"/>
      <c r="D101" s="197" t="n"/>
      <c r="E101" s="54" t="inlineStr">
        <is>
          <t>L＞10</t>
        </is>
      </c>
      <c r="F101" s="43" t="n"/>
      <c r="G101" s="212" t="inlineStr">
        <is>
          <t>次</t>
        </is>
      </c>
      <c r="H101" s="212" t="n"/>
      <c r="I101" s="233" t="n">
        <v>50</v>
      </c>
      <c r="J101" s="234" t="n"/>
      <c r="K101" s="234">
        <f>I101*H101*J101</f>
        <v/>
      </c>
      <c r="L101" s="43" t="inlineStr">
        <is>
          <t>复杂</t>
        </is>
      </c>
      <c r="M101" s="216">
        <f>VLOOKUP(L101,{"简单","0.27";"中等","0.30";"复杂","0.33"},2,0)</f>
        <v/>
      </c>
      <c r="N101" s="234">
        <f>K101*M101</f>
        <v/>
      </c>
      <c r="O101" s="234">
        <f>K101+N101</f>
        <v/>
      </c>
      <c r="P101" s="241" t="inlineStr">
        <is>
          <t>表5.5-1</t>
        </is>
      </c>
      <c r="Q101" s="76" t="n"/>
      <c r="R101" s="77" t="n"/>
      <c r="S101" s="72" t="n"/>
      <c r="T101" s="72" t="n"/>
      <c r="U101" s="72" t="n"/>
      <c r="V101" s="72" t="n"/>
      <c r="W101" s="235" t="n"/>
      <c r="X101" s="72" t="n"/>
      <c r="Y101" s="190" t="n"/>
      <c r="Z101" s="190" t="n"/>
      <c r="AA101" s="190" t="n"/>
      <c r="AB101" s="190" t="n"/>
      <c r="AC101" s="190" t="n"/>
      <c r="AD101" s="236" t="n"/>
      <c r="AE101" s="190" t="n"/>
    </row>
    <row r="102" s="186">
      <c r="A102" s="47" t="n">
        <v>98</v>
      </c>
      <c r="B102" s="43" t="inlineStr">
        <is>
          <t>工程
水文</t>
        </is>
      </c>
      <c r="C102" s="88" t="inlineStr">
        <is>
          <t>设计洪水</t>
        </is>
      </c>
      <c r="D102" s="87" t="inlineStr">
        <is>
          <t>设计洪水位</t>
        </is>
      </c>
      <c r="E102" s="54" t="inlineStr">
        <is>
          <t>河流设计洪水</t>
        </is>
      </c>
      <c r="F102" s="43" t="inlineStr">
        <is>
          <t>中等</t>
        </is>
      </c>
      <c r="G102" s="89" t="inlineStr">
        <is>
          <t xml:space="preserve">设计断面 </t>
        </is>
      </c>
      <c r="H102" s="212" t="n"/>
      <c r="I102" s="216">
        <f>VLOOKUP(F102,{"简单","54600";"中等","78100";"复杂","109300"},2,0)</f>
        <v/>
      </c>
      <c r="J102" s="234" t="n"/>
      <c r="K102" s="234">
        <f>I102*H102*J102</f>
        <v/>
      </c>
      <c r="L102" s="43" t="inlineStr">
        <is>
          <t>水文气象</t>
        </is>
      </c>
      <c r="M102" s="216" t="n">
        <v>0.22</v>
      </c>
      <c r="N102" s="234">
        <f>K102*M102</f>
        <v/>
      </c>
      <c r="O102" s="234">
        <f>K102+N102</f>
        <v/>
      </c>
      <c r="P102" s="241" t="inlineStr">
        <is>
          <t>表6.2-2</t>
        </is>
      </c>
      <c r="Q102" s="76" t="n"/>
      <c r="R102" s="77" t="n"/>
      <c r="S102" s="72" t="n"/>
      <c r="T102" s="72" t="n"/>
      <c r="U102" s="72" t="n"/>
      <c r="V102" s="72" t="n"/>
      <c r="W102" s="235" t="n"/>
      <c r="X102" s="72" t="n"/>
      <c r="Y102" s="190" t="n"/>
      <c r="Z102" s="190" t="n"/>
      <c r="AA102" s="190" t="n"/>
      <c r="AB102" s="190" t="n"/>
      <c r="AC102" s="190" t="n"/>
      <c r="AD102" s="236" t="n"/>
      <c r="AE102" s="190" t="n"/>
    </row>
    <row r="103" s="186">
      <c r="A103" s="43" t="n">
        <v>99</v>
      </c>
      <c r="B103" s="197" t="n"/>
      <c r="C103" s="90" t="inlineStr">
        <is>
          <t>河流冲刷</t>
        </is>
      </c>
      <c r="D103" s="87" t="inlineStr">
        <is>
          <t>工程泥沙</t>
        </is>
      </c>
      <c r="E103" s="54" t="inlineStr">
        <is>
          <t>河床冲刷</t>
        </is>
      </c>
      <c r="F103" s="43" t="inlineStr">
        <is>
          <t>中等</t>
        </is>
      </c>
      <c r="G103" s="89" t="inlineStr">
        <is>
          <t>工程点</t>
        </is>
      </c>
      <c r="H103" s="212" t="n"/>
      <c r="I103" s="216">
        <f>VLOOKUP(F103,{"简单","12400";"中等","17800";"复杂","24800"},2,0)</f>
        <v/>
      </c>
      <c r="J103" s="234" t="n"/>
      <c r="K103" s="234">
        <f>I103*H103*J103</f>
        <v/>
      </c>
      <c r="L103" s="43" t="inlineStr">
        <is>
          <t>水文气象</t>
        </is>
      </c>
      <c r="M103" s="216" t="n">
        <v>0.22</v>
      </c>
      <c r="N103" s="234">
        <f>K103*M103</f>
        <v/>
      </c>
      <c r="O103" s="234">
        <f>K103+N103</f>
        <v/>
      </c>
      <c r="P103" s="241" t="inlineStr">
        <is>
          <t>表6.2-2</t>
        </is>
      </c>
      <c r="Q103" s="76" t="n"/>
      <c r="R103" s="77" t="n"/>
      <c r="S103" s="72" t="n"/>
      <c r="T103" s="72" t="n"/>
      <c r="U103" s="72" t="n"/>
      <c r="V103" s="72" t="n"/>
      <c r="W103" s="235" t="n"/>
      <c r="X103" s="72" t="n"/>
      <c r="Y103" s="190" t="n"/>
      <c r="Z103" s="190" t="n"/>
      <c r="AA103" s="190" t="n"/>
      <c r="AB103" s="190" t="n"/>
      <c r="AC103" s="190" t="n"/>
      <c r="AD103" s="236" t="n"/>
      <c r="AE103" s="190" t="n"/>
    </row>
    <row r="104" s="186">
      <c r="A104" s="47" t="n">
        <v>100</v>
      </c>
      <c r="B104" s="43" t="inlineStr">
        <is>
          <t>工程物探</t>
        </is>
      </c>
      <c r="C104" s="87" t="inlineStr">
        <is>
          <t>浅层地震
反射或折射</t>
        </is>
      </c>
      <c r="D104" s="43" t="inlineStr">
        <is>
          <t>敲击</t>
        </is>
      </c>
      <c r="E104" s="195" t="n"/>
      <c r="F104" s="196" t="n"/>
      <c r="G104" s="212" t="inlineStr">
        <is>
          <t>检波点·炮</t>
        </is>
      </c>
      <c r="H104" s="212" t="n"/>
      <c r="I104" s="217" t="n">
        <v>18</v>
      </c>
      <c r="J104" s="234" t="n"/>
      <c r="K104" s="234">
        <f>I104*H104*J104</f>
        <v/>
      </c>
      <c r="L104" s="43" t="inlineStr">
        <is>
          <t>物探</t>
        </is>
      </c>
      <c r="M104" s="216">
        <f>VLOOKUP(L104,{"甲级","1.2";"乙级","1";"丙级","0.8";"物探","0.22"},2,0)</f>
        <v/>
      </c>
      <c r="N104" s="234">
        <f>K104*M104</f>
        <v/>
      </c>
      <c r="O104" s="234">
        <f>K104+N104</f>
        <v/>
      </c>
      <c r="P104" s="241" t="inlineStr">
        <is>
          <t xml:space="preserve"> 表7.2-1</t>
        </is>
      </c>
      <c r="Q104" s="76" t="n"/>
      <c r="R104" s="77" t="n"/>
      <c r="S104" s="72" t="n"/>
      <c r="T104" s="72" t="n"/>
      <c r="U104" s="72" t="n"/>
      <c r="V104" s="72" t="n"/>
      <c r="W104" s="235" t="n"/>
      <c r="X104" s="72" t="n"/>
      <c r="Y104" s="190" t="n"/>
      <c r="Z104" s="190" t="n"/>
      <c r="AA104" s="190" t="n"/>
      <c r="AB104" s="190" t="n"/>
      <c r="AC104" s="190" t="n"/>
      <c r="AD104" s="236" t="n"/>
      <c r="AE104" s="190" t="n"/>
    </row>
    <row r="105" s="186">
      <c r="A105" s="43" t="n">
        <v>101</v>
      </c>
      <c r="B105" s="204" t="n"/>
      <c r="C105" s="204" t="n"/>
      <c r="D105" s="53" t="inlineStr">
        <is>
          <t>爆炸</t>
        </is>
      </c>
      <c r="E105" s="87" t="inlineStr">
        <is>
          <t>陆地</t>
        </is>
      </c>
      <c r="F105" s="87" t="n"/>
      <c r="G105" s="212" t="inlineStr">
        <is>
          <t>检波点·炮</t>
        </is>
      </c>
      <c r="H105" s="212" t="n"/>
      <c r="I105" s="217" t="n">
        <v>25</v>
      </c>
      <c r="J105" s="234" t="n"/>
      <c r="K105" s="234">
        <f>I105*H105*J105</f>
        <v/>
      </c>
      <c r="L105" s="43" t="inlineStr">
        <is>
          <t>物探</t>
        </is>
      </c>
      <c r="M105" s="216">
        <f>VLOOKUP(L105,{"甲级","1.2";"乙级","1";"丙级","0.8";"物探","0.22"},2,0)</f>
        <v/>
      </c>
      <c r="N105" s="234">
        <f>K105*M105</f>
        <v/>
      </c>
      <c r="O105" s="234">
        <f>K105+N105</f>
        <v/>
      </c>
      <c r="P105" s="241" t="inlineStr">
        <is>
          <t xml:space="preserve"> 表7.2-1</t>
        </is>
      </c>
      <c r="Q105" s="76" t="n"/>
      <c r="R105" s="77" t="n"/>
      <c r="S105" s="72" t="n"/>
      <c r="T105" s="72" t="n"/>
      <c r="U105" s="72" t="n"/>
      <c r="V105" s="72" t="n"/>
      <c r="W105" s="235" t="n"/>
      <c r="X105" s="72" t="n"/>
      <c r="Y105" s="190" t="n"/>
      <c r="Z105" s="190" t="n"/>
      <c r="AA105" s="190" t="n"/>
      <c r="AB105" s="190" t="n"/>
      <c r="AC105" s="190" t="n"/>
      <c r="AD105" s="236" t="n"/>
      <c r="AE105" s="190" t="n"/>
    </row>
    <row r="106" s="186">
      <c r="A106" s="47" t="n">
        <v>102</v>
      </c>
      <c r="B106" s="204" t="n"/>
      <c r="C106" s="204" t="n"/>
      <c r="D106" s="204" t="n"/>
      <c r="E106" s="87" t="inlineStr">
        <is>
          <t>水面
布点</t>
        </is>
      </c>
      <c r="F106" s="54" t="inlineStr">
        <is>
          <t>顺流</t>
        </is>
      </c>
      <c r="G106" s="212" t="inlineStr">
        <is>
          <t>检波点·炮</t>
        </is>
      </c>
      <c r="H106" s="212" t="n"/>
      <c r="I106" s="217" t="n">
        <v>45</v>
      </c>
      <c r="J106" s="234" t="n"/>
      <c r="K106" s="234">
        <f>I106*H106*J106</f>
        <v/>
      </c>
      <c r="L106" s="43" t="inlineStr">
        <is>
          <t>物探</t>
        </is>
      </c>
      <c r="M106" s="216">
        <f>VLOOKUP(L106,{"甲级","1.2";"乙级","1";"丙级","0.8";"物探","0.22"},2,0)</f>
        <v/>
      </c>
      <c r="N106" s="234">
        <f>K106*M106</f>
        <v/>
      </c>
      <c r="O106" s="234">
        <f>K106+N106</f>
        <v/>
      </c>
      <c r="P106" s="241" t="inlineStr">
        <is>
          <t xml:space="preserve"> 表7.2-1</t>
        </is>
      </c>
      <c r="Q106" s="76" t="n"/>
      <c r="R106" s="77" t="n"/>
      <c r="S106" s="72" t="n"/>
      <c r="T106" s="72" t="n"/>
      <c r="U106" s="72" t="n"/>
      <c r="V106" s="72" t="n"/>
      <c r="W106" s="235" t="n"/>
      <c r="X106" s="72" t="n"/>
      <c r="Y106" s="190" t="n"/>
      <c r="Z106" s="190" t="n"/>
      <c r="AA106" s="190" t="n"/>
      <c r="AB106" s="190" t="n"/>
      <c r="AC106" s="190" t="n"/>
      <c r="AD106" s="236" t="n"/>
      <c r="AE106" s="190" t="n"/>
    </row>
    <row r="107" s="186">
      <c r="A107" s="43" t="n">
        <v>103</v>
      </c>
      <c r="B107" s="204" t="n"/>
      <c r="C107" s="204" t="n"/>
      <c r="D107" s="204" t="n"/>
      <c r="E107" s="197" t="n"/>
      <c r="F107" s="54" t="inlineStr">
        <is>
          <t>横穿</t>
        </is>
      </c>
      <c r="G107" s="212" t="inlineStr">
        <is>
          <t>检波点·炮</t>
        </is>
      </c>
      <c r="H107" s="212" t="n"/>
      <c r="I107" s="217" t="n">
        <v>220</v>
      </c>
      <c r="J107" s="234" t="n"/>
      <c r="K107" s="234">
        <f>I107*H107*J107</f>
        <v/>
      </c>
      <c r="L107" s="43" t="inlineStr">
        <is>
          <t>物探</t>
        </is>
      </c>
      <c r="M107" s="216">
        <f>VLOOKUP(L107,{"甲级","1.2";"乙级","1";"丙级","0.8";"物探","0.22"},2,0)</f>
        <v/>
      </c>
      <c r="N107" s="234">
        <f>K107*M107</f>
        <v/>
      </c>
      <c r="O107" s="234">
        <f>K107+N107</f>
        <v/>
      </c>
      <c r="P107" s="241" t="inlineStr">
        <is>
          <t xml:space="preserve"> 表7.2-1</t>
        </is>
      </c>
      <c r="Q107" s="76" t="n"/>
      <c r="R107" s="77" t="n"/>
      <c r="S107" s="72" t="n"/>
      <c r="T107" s="72" t="n"/>
      <c r="U107" s="72" t="n"/>
      <c r="V107" s="72" t="n"/>
      <c r="W107" s="235" t="n"/>
      <c r="X107" s="72" t="n"/>
      <c r="Y107" s="190" t="n"/>
      <c r="Z107" s="190" t="n"/>
      <c r="AA107" s="190" t="n"/>
      <c r="AB107" s="190" t="n"/>
      <c r="AC107" s="190" t="n"/>
      <c r="AD107" s="236" t="n"/>
      <c r="AE107" s="190" t="n"/>
    </row>
    <row r="108" s="186">
      <c r="A108" s="47" t="n">
        <v>104</v>
      </c>
      <c r="B108" s="204" t="n"/>
      <c r="C108" s="204" t="n"/>
      <c r="D108" s="204" t="n"/>
      <c r="E108" s="87" t="inlineStr">
        <is>
          <t>水底
布点</t>
        </is>
      </c>
      <c r="F108" s="54" t="inlineStr">
        <is>
          <t>顺流</t>
        </is>
      </c>
      <c r="G108" s="212" t="inlineStr">
        <is>
          <t>检波点·炮</t>
        </is>
      </c>
      <c r="H108" s="212" t="n"/>
      <c r="I108" s="217" t="n">
        <v>130</v>
      </c>
      <c r="J108" s="234" t="n"/>
      <c r="K108" s="234">
        <f>I108*H108*J108</f>
        <v/>
      </c>
      <c r="L108" s="43" t="inlineStr">
        <is>
          <t>物探</t>
        </is>
      </c>
      <c r="M108" s="216">
        <f>VLOOKUP(L108,{"甲级","1.2";"乙级","1";"丙级","0.8";"物探","0.22"},2,0)</f>
        <v/>
      </c>
      <c r="N108" s="234">
        <f>K108*M108</f>
        <v/>
      </c>
      <c r="O108" s="234">
        <f>K108+N108</f>
        <v/>
      </c>
      <c r="P108" s="241" t="inlineStr">
        <is>
          <t xml:space="preserve"> 表7.2-1</t>
        </is>
      </c>
      <c r="Q108" s="76" t="n"/>
      <c r="R108" s="77" t="n"/>
      <c r="S108" s="72" t="n"/>
      <c r="T108" s="72" t="n"/>
      <c r="U108" s="72" t="n"/>
      <c r="V108" s="72" t="n"/>
      <c r="W108" s="235" t="n"/>
      <c r="X108" s="72" t="n"/>
      <c r="Y108" s="190" t="n"/>
      <c r="Z108" s="190" t="n"/>
      <c r="AA108" s="190" t="n"/>
      <c r="AB108" s="190" t="n"/>
      <c r="AC108" s="190" t="n"/>
      <c r="AD108" s="236" t="n"/>
      <c r="AE108" s="190" t="n"/>
    </row>
    <row r="109" s="186">
      <c r="A109" s="43" t="n">
        <v>105</v>
      </c>
      <c r="B109" s="204" t="n"/>
      <c r="C109" s="197" t="n"/>
      <c r="D109" s="197" t="n"/>
      <c r="E109" s="197" t="n"/>
      <c r="F109" s="54" t="inlineStr">
        <is>
          <t>横穿</t>
        </is>
      </c>
      <c r="G109" s="212" t="inlineStr">
        <is>
          <t>检波点·炮</t>
        </is>
      </c>
      <c r="H109" s="212" t="n"/>
      <c r="I109" s="217" t="n">
        <v>260</v>
      </c>
      <c r="J109" s="234" t="n"/>
      <c r="K109" s="234">
        <f>I109*H109*J109</f>
        <v/>
      </c>
      <c r="L109" s="43" t="inlineStr">
        <is>
          <t>物探</t>
        </is>
      </c>
      <c r="M109" s="216">
        <f>VLOOKUP(L109,{"甲级","1.2";"乙级","1";"丙级","0.8";"物探","0.22"},2,0)</f>
        <v/>
      </c>
      <c r="N109" s="234">
        <f>K109*M109</f>
        <v/>
      </c>
      <c r="O109" s="234">
        <f>K109+N109</f>
        <v/>
      </c>
      <c r="P109" s="241" t="inlineStr">
        <is>
          <t xml:space="preserve"> 表7.2-1</t>
        </is>
      </c>
      <c r="Q109" s="76" t="n"/>
      <c r="R109" s="77" t="n"/>
      <c r="S109" s="72" t="n"/>
      <c r="T109" s="72" t="n"/>
      <c r="U109" s="72" t="n"/>
      <c r="V109" s="72" t="n"/>
      <c r="W109" s="235" t="n"/>
      <c r="X109" s="72" t="n"/>
      <c r="Y109" s="190" t="n"/>
      <c r="Z109" s="190" t="n"/>
      <c r="AA109" s="190" t="n"/>
      <c r="AB109" s="190" t="n"/>
      <c r="AC109" s="190" t="n"/>
      <c r="AD109" s="236" t="n"/>
      <c r="AE109" s="190" t="n"/>
    </row>
    <row r="110" s="186">
      <c r="A110" s="47" t="n">
        <v>106</v>
      </c>
      <c r="B110" s="204" t="n"/>
      <c r="C110" s="53" t="inlineStr">
        <is>
          <t>面波勘探</t>
        </is>
      </c>
      <c r="D110" s="87" t="inlineStr">
        <is>
          <t>探
测
深
度
D(m)</t>
        </is>
      </c>
      <c r="E110" s="54" t="inlineStr">
        <is>
          <t>D≤10</t>
        </is>
      </c>
      <c r="F110" s="54" t="n"/>
      <c r="G110" s="212" t="inlineStr">
        <is>
          <t>点</t>
        </is>
      </c>
      <c r="H110" s="212" t="n"/>
      <c r="I110" s="217" t="n">
        <v>1800</v>
      </c>
      <c r="J110" s="234" t="n"/>
      <c r="K110" s="234">
        <f>I110*H110*J110</f>
        <v/>
      </c>
      <c r="L110" s="43" t="inlineStr">
        <is>
          <t>物探</t>
        </is>
      </c>
      <c r="M110" s="216">
        <f>VLOOKUP(L110,{"甲级","1.2";"乙级","1";"丙级","0.8";"物探","0.22"},2,0)</f>
        <v/>
      </c>
      <c r="N110" s="234">
        <f>K110*M110</f>
        <v/>
      </c>
      <c r="O110" s="234">
        <f>K110+N110</f>
        <v/>
      </c>
      <c r="P110" s="241" t="inlineStr">
        <is>
          <t xml:space="preserve"> 表7.2-1</t>
        </is>
      </c>
      <c r="Q110" s="76" t="n"/>
      <c r="R110" s="77" t="n"/>
      <c r="S110" s="72" t="n"/>
      <c r="T110" s="72" t="n"/>
      <c r="U110" s="72" t="n"/>
      <c r="V110" s="72" t="n"/>
      <c r="W110" s="235" t="n"/>
      <c r="X110" s="72" t="n"/>
      <c r="Y110" s="190" t="n"/>
      <c r="Z110" s="190" t="n"/>
      <c r="AA110" s="190" t="n"/>
      <c r="AB110" s="190" t="n"/>
      <c r="AC110" s="190" t="n"/>
      <c r="AD110" s="236" t="n"/>
      <c r="AE110" s="190" t="n"/>
    </row>
    <row r="111" s="186">
      <c r="A111" s="43" t="n">
        <v>107</v>
      </c>
      <c r="B111" s="204" t="n"/>
      <c r="C111" s="204" t="n"/>
      <c r="D111" s="204" t="n"/>
      <c r="E111" s="54" t="inlineStr">
        <is>
          <t>10＜D≤20</t>
        </is>
      </c>
      <c r="F111" s="54" t="n"/>
      <c r="G111" s="212" t="inlineStr">
        <is>
          <t>点</t>
        </is>
      </c>
      <c r="H111" s="212" t="n"/>
      <c r="I111" s="217" t="n">
        <v>2520</v>
      </c>
      <c r="J111" s="234" t="n"/>
      <c r="K111" s="234">
        <f>I111*H111*J111</f>
        <v/>
      </c>
      <c r="L111" s="43" t="inlineStr">
        <is>
          <t>物探</t>
        </is>
      </c>
      <c r="M111" s="216">
        <f>VLOOKUP(L111,{"甲级","1.2";"乙级","1";"丙级","0.8";"物探","0.22"},2,0)</f>
        <v/>
      </c>
      <c r="N111" s="234">
        <f>K111*M111</f>
        <v/>
      </c>
      <c r="O111" s="234">
        <f>K111+N111</f>
        <v/>
      </c>
      <c r="P111" s="241" t="inlineStr">
        <is>
          <t xml:space="preserve"> 表7.2-1</t>
        </is>
      </c>
      <c r="Q111" s="76" t="n"/>
      <c r="R111" s="77" t="n"/>
      <c r="S111" s="72" t="n"/>
      <c r="T111" s="72" t="n"/>
      <c r="U111" s="72" t="n"/>
      <c r="V111" s="72" t="n"/>
      <c r="W111" s="235" t="n"/>
      <c r="X111" s="72" t="n"/>
      <c r="Y111" s="190" t="n"/>
      <c r="Z111" s="190" t="n"/>
      <c r="AA111" s="190" t="n"/>
      <c r="AB111" s="190" t="n"/>
      <c r="AC111" s="190" t="n"/>
      <c r="AD111" s="236" t="n"/>
      <c r="AE111" s="190" t="n"/>
    </row>
    <row r="112" s="186">
      <c r="A112" s="47" t="n">
        <v>108</v>
      </c>
      <c r="B112" s="204" t="n"/>
      <c r="C112" s="204" t="n"/>
      <c r="D112" s="204" t="n"/>
      <c r="E112" s="54" t="inlineStr">
        <is>
          <t>20＜D≤30</t>
        </is>
      </c>
      <c r="F112" s="54" t="n"/>
      <c r="G112" s="212" t="inlineStr">
        <is>
          <t>点</t>
        </is>
      </c>
      <c r="H112" s="212" t="n"/>
      <c r="I112" s="217" t="n">
        <v>3240</v>
      </c>
      <c r="J112" s="234" t="n"/>
      <c r="K112" s="234">
        <f>I112*H112*J112</f>
        <v/>
      </c>
      <c r="L112" s="43" t="inlineStr">
        <is>
          <t>物探</t>
        </is>
      </c>
      <c r="M112" s="216">
        <f>VLOOKUP(L112,{"甲级","1.2";"乙级","1";"丙级","0.8";"物探","0.22"},2,0)</f>
        <v/>
      </c>
      <c r="N112" s="234">
        <f>K112*M112</f>
        <v/>
      </c>
      <c r="O112" s="234">
        <f>K112+N112</f>
        <v/>
      </c>
      <c r="P112" s="241" t="inlineStr">
        <is>
          <t xml:space="preserve"> 表7.2-1</t>
        </is>
      </c>
      <c r="Q112" s="76" t="n"/>
      <c r="R112" s="77" t="n"/>
      <c r="S112" s="72" t="n"/>
      <c r="T112" s="72" t="n"/>
      <c r="U112" s="72" t="n"/>
      <c r="V112" s="72" t="n"/>
      <c r="W112" s="235" t="n"/>
      <c r="X112" s="72" t="n"/>
      <c r="Y112" s="190" t="n"/>
      <c r="Z112" s="190" t="n"/>
      <c r="AA112" s="190" t="n"/>
      <c r="AB112" s="190" t="n"/>
      <c r="AC112" s="190" t="n"/>
      <c r="AD112" s="236" t="n"/>
      <c r="AE112" s="190" t="n"/>
    </row>
    <row r="113" s="186">
      <c r="A113" s="43" t="n">
        <v>109</v>
      </c>
      <c r="B113" s="204" t="n"/>
      <c r="C113" s="204" t="n"/>
      <c r="D113" s="204" t="n"/>
      <c r="E113" s="54" t="inlineStr">
        <is>
          <t>30＜D≤50</t>
        </is>
      </c>
      <c r="F113" s="54" t="n"/>
      <c r="G113" s="212" t="inlineStr">
        <is>
          <t>点</t>
        </is>
      </c>
      <c r="H113" s="212" t="n"/>
      <c r="I113" s="217" t="n">
        <v>4320</v>
      </c>
      <c r="J113" s="234" t="n"/>
      <c r="K113" s="234">
        <f>I113*H113*J113</f>
        <v/>
      </c>
      <c r="L113" s="43" t="inlineStr">
        <is>
          <t>物探</t>
        </is>
      </c>
      <c r="M113" s="216">
        <f>VLOOKUP(L113,{"甲级","1.2";"乙级","1";"丙级","0.8";"物探","0.22"},2,0)</f>
        <v/>
      </c>
      <c r="N113" s="234">
        <f>K113*M113</f>
        <v/>
      </c>
      <c r="O113" s="234">
        <f>K113+N113</f>
        <v/>
      </c>
      <c r="P113" s="241" t="inlineStr">
        <is>
          <t xml:space="preserve"> 表7.2-1</t>
        </is>
      </c>
      <c r="Q113" s="76" t="n"/>
      <c r="R113" s="77" t="n"/>
      <c r="S113" s="72" t="n"/>
      <c r="T113" s="72" t="n"/>
      <c r="U113" s="72" t="n"/>
      <c r="V113" s="72" t="n"/>
      <c r="W113" s="235" t="n"/>
      <c r="X113" s="72" t="n"/>
      <c r="Y113" s="190" t="n"/>
      <c r="Z113" s="190" t="n"/>
      <c r="AA113" s="190" t="n"/>
      <c r="AB113" s="190" t="n"/>
      <c r="AC113" s="190" t="n"/>
      <c r="AD113" s="236" t="n"/>
      <c r="AE113" s="190" t="n"/>
    </row>
    <row r="114" s="186">
      <c r="A114" s="47" t="n">
        <v>110</v>
      </c>
      <c r="B114" s="204" t="n"/>
      <c r="C114" s="197" t="n"/>
      <c r="D114" s="197" t="n"/>
      <c r="E114" s="54" t="inlineStr">
        <is>
          <t>D＞50</t>
        </is>
      </c>
      <c r="F114" s="54" t="n"/>
      <c r="G114" s="212" t="inlineStr">
        <is>
          <t>点</t>
        </is>
      </c>
      <c r="H114" s="212" t="n"/>
      <c r="I114" s="217" t="n">
        <v>5760</v>
      </c>
      <c r="J114" s="234" t="n"/>
      <c r="K114" s="234">
        <f>I114*H114*J114</f>
        <v/>
      </c>
      <c r="L114" s="43" t="inlineStr">
        <is>
          <t>物探</t>
        </is>
      </c>
      <c r="M114" s="216">
        <f>VLOOKUP(L114,{"甲级","1.2";"乙级","1";"丙级","0.8";"物探","0.22"},2,0)</f>
        <v/>
      </c>
      <c r="N114" s="234">
        <f>K114*M114</f>
        <v/>
      </c>
      <c r="O114" s="234">
        <f>K114+N114</f>
        <v/>
      </c>
      <c r="P114" s="241" t="inlineStr">
        <is>
          <t xml:space="preserve"> 表7.2-1</t>
        </is>
      </c>
      <c r="Q114" s="76" t="n"/>
      <c r="R114" s="77" t="n"/>
      <c r="S114" s="72" t="n"/>
      <c r="T114" s="72" t="n"/>
      <c r="U114" s="72" t="n"/>
      <c r="V114" s="72" t="n"/>
      <c r="W114" s="235" t="n"/>
      <c r="X114" s="72" t="n"/>
      <c r="Y114" s="190" t="n"/>
      <c r="Z114" s="190" t="n"/>
      <c r="AA114" s="190" t="n"/>
      <c r="AB114" s="190" t="n"/>
      <c r="AC114" s="190" t="n"/>
      <c r="AD114" s="236" t="n"/>
      <c r="AE114" s="190" t="n"/>
    </row>
    <row r="115" s="186">
      <c r="A115" s="43" t="n">
        <v>111</v>
      </c>
      <c r="B115" s="204" t="n"/>
      <c r="C115" s="53" t="inlineStr">
        <is>
          <t>高密度电法</t>
        </is>
      </c>
      <c r="D115" s="53" t="inlineStr">
        <is>
          <t>电极距L（m）</t>
        </is>
      </c>
      <c r="E115" s="54" t="inlineStr">
        <is>
          <t>L≤100</t>
        </is>
      </c>
      <c r="F115" s="54" t="inlineStr">
        <is>
          <t>四级法</t>
        </is>
      </c>
      <c r="G115" s="212" t="inlineStr">
        <is>
          <t>点</t>
        </is>
      </c>
      <c r="H115" s="212" t="n"/>
      <c r="I115" s="217" t="n">
        <v>30</v>
      </c>
      <c r="J115" s="234" t="n"/>
      <c r="K115" s="234">
        <f>I115*H115*J115</f>
        <v/>
      </c>
      <c r="L115" s="43" t="inlineStr">
        <is>
          <t>物探</t>
        </is>
      </c>
      <c r="M115" s="216">
        <f>VLOOKUP(L115,{"甲级","1.2";"乙级","1";"丙级","0.8";"物探","0.22"},2,0)</f>
        <v/>
      </c>
      <c r="N115" s="234">
        <f>K115*M115</f>
        <v/>
      </c>
      <c r="O115" s="234">
        <f>K115+N115</f>
        <v/>
      </c>
      <c r="P115" s="241" t="inlineStr">
        <is>
          <t xml:space="preserve"> 表7.2-1</t>
        </is>
      </c>
      <c r="Q115" s="76" t="n"/>
      <c r="R115" s="77" t="n"/>
      <c r="S115" s="72" t="n"/>
      <c r="T115" s="72" t="n"/>
      <c r="U115" s="72" t="n"/>
      <c r="V115" s="72" t="n"/>
      <c r="W115" s="235" t="n"/>
      <c r="X115" s="72" t="n"/>
      <c r="Y115" s="190" t="n"/>
      <c r="Z115" s="190" t="n"/>
      <c r="AA115" s="190" t="n"/>
      <c r="AB115" s="190" t="n"/>
      <c r="AC115" s="190" t="n"/>
      <c r="AD115" s="236" t="n"/>
      <c r="AE115" s="190" t="n"/>
    </row>
    <row r="116" s="186">
      <c r="A116" s="47" t="n">
        <v>112</v>
      </c>
      <c r="B116" s="204" t="n"/>
      <c r="C116" s="204" t="n"/>
      <c r="D116" s="204" t="n"/>
      <c r="E116" s="54" t="inlineStr">
        <is>
          <t>100＜L≤200</t>
        </is>
      </c>
      <c r="F116" s="54" t="inlineStr">
        <is>
          <t>四级法</t>
        </is>
      </c>
      <c r="G116" s="212" t="inlineStr">
        <is>
          <t>点</t>
        </is>
      </c>
      <c r="H116" s="212" t="n"/>
      <c r="I116" s="217" t="n">
        <v>40</v>
      </c>
      <c r="J116" s="234" t="n"/>
      <c r="K116" s="234">
        <f>I116*H116*J116</f>
        <v/>
      </c>
      <c r="L116" s="43" t="inlineStr">
        <is>
          <t>物探</t>
        </is>
      </c>
      <c r="M116" s="216">
        <f>VLOOKUP(L116,{"甲级","1.2";"乙级","1";"丙级","0.8";"物探","0.22"},2,0)</f>
        <v/>
      </c>
      <c r="N116" s="234">
        <f>K116*M116</f>
        <v/>
      </c>
      <c r="O116" s="234">
        <f>K116+N116</f>
        <v/>
      </c>
      <c r="P116" s="241" t="inlineStr">
        <is>
          <t xml:space="preserve"> 表7.2-1</t>
        </is>
      </c>
      <c r="Q116" s="76" t="n"/>
      <c r="R116" s="77" t="n"/>
      <c r="S116" s="72" t="n"/>
      <c r="T116" s="72" t="n"/>
      <c r="U116" s="72" t="n"/>
      <c r="V116" s="72" t="n"/>
      <c r="W116" s="235" t="n"/>
      <c r="X116" s="72" t="n"/>
      <c r="Y116" s="190" t="n"/>
      <c r="Z116" s="190" t="n"/>
      <c r="AA116" s="190" t="n"/>
      <c r="AB116" s="190" t="n"/>
      <c r="AC116" s="190" t="n"/>
      <c r="AD116" s="236" t="n"/>
      <c r="AE116" s="190" t="n"/>
    </row>
    <row r="117" s="186">
      <c r="A117" s="43" t="n">
        <v>113</v>
      </c>
      <c r="B117" s="204" t="n"/>
      <c r="C117" s="204" t="n"/>
      <c r="D117" s="204" t="n"/>
      <c r="E117" s="54" t="inlineStr">
        <is>
          <t>200＜L≤400</t>
        </is>
      </c>
      <c r="F117" s="54" t="inlineStr">
        <is>
          <t>四级法</t>
        </is>
      </c>
      <c r="G117" s="212" t="inlineStr">
        <is>
          <t>点</t>
        </is>
      </c>
      <c r="H117" s="212" t="n"/>
      <c r="I117" s="217" t="n">
        <v>50</v>
      </c>
      <c r="J117" s="234" t="n"/>
      <c r="K117" s="234">
        <f>I117*H117*J117</f>
        <v/>
      </c>
      <c r="L117" s="43" t="inlineStr">
        <is>
          <t>物探</t>
        </is>
      </c>
      <c r="M117" s="216">
        <f>VLOOKUP(L117,{"甲级","1.2";"乙级","1";"丙级","0.8";"物探","0.22"},2,0)</f>
        <v/>
      </c>
      <c r="N117" s="234">
        <f>K117*M117</f>
        <v/>
      </c>
      <c r="O117" s="234">
        <f>K117+N117</f>
        <v/>
      </c>
      <c r="P117" s="241" t="inlineStr">
        <is>
          <t xml:space="preserve"> 表7.2-1</t>
        </is>
      </c>
      <c r="Q117" s="76" t="n"/>
      <c r="R117" s="77" t="n"/>
      <c r="S117" s="72" t="n"/>
      <c r="T117" s="72" t="n"/>
      <c r="U117" s="72" t="n"/>
      <c r="V117" s="72" t="n"/>
      <c r="W117" s="235" t="n"/>
      <c r="X117" s="72" t="n"/>
      <c r="Y117" s="190" t="n"/>
      <c r="Z117" s="190" t="n"/>
      <c r="AA117" s="190" t="n"/>
      <c r="AB117" s="190" t="n"/>
      <c r="AC117" s="190" t="n"/>
      <c r="AD117" s="236" t="n"/>
      <c r="AE117" s="190" t="n"/>
    </row>
    <row r="118" s="186">
      <c r="A118" s="47" t="n">
        <v>114</v>
      </c>
      <c r="B118" s="204" t="n"/>
      <c r="C118" s="197" t="n"/>
      <c r="D118" s="197" t="n"/>
      <c r="E118" s="54" t="inlineStr">
        <is>
          <t>400＜L≤600</t>
        </is>
      </c>
      <c r="F118" s="54" t="inlineStr">
        <is>
          <t>四级法</t>
        </is>
      </c>
      <c r="G118" s="212" t="inlineStr">
        <is>
          <t>点</t>
        </is>
      </c>
      <c r="H118" s="212" t="n"/>
      <c r="I118" s="217" t="n">
        <v>60</v>
      </c>
      <c r="J118" s="234" t="n"/>
      <c r="K118" s="234">
        <f>I118*H118*J118</f>
        <v/>
      </c>
      <c r="L118" s="43" t="inlineStr">
        <is>
          <t>物探</t>
        </is>
      </c>
      <c r="M118" s="216">
        <f>VLOOKUP(L118,{"甲级","1.2";"乙级","1";"丙级","0.8";"物探","0.22"},2,0)</f>
        <v/>
      </c>
      <c r="N118" s="234">
        <f>K118*M118</f>
        <v/>
      </c>
      <c r="O118" s="234">
        <f>K118+N118</f>
        <v/>
      </c>
      <c r="P118" s="241" t="inlineStr">
        <is>
          <t xml:space="preserve"> 表7.2-1</t>
        </is>
      </c>
      <c r="Q118" s="76" t="n"/>
      <c r="R118" s="77" t="n"/>
      <c r="S118" s="72" t="n"/>
      <c r="T118" s="72" t="n"/>
      <c r="U118" s="72" t="n"/>
      <c r="V118" s="72" t="n"/>
      <c r="W118" s="235" t="n"/>
      <c r="X118" s="72" t="n"/>
      <c r="Y118" s="190" t="n"/>
      <c r="Z118" s="190" t="n"/>
      <c r="AA118" s="190" t="n"/>
      <c r="AB118" s="190" t="n"/>
      <c r="AC118" s="190" t="n"/>
      <c r="AD118" s="236" t="n"/>
      <c r="AE118" s="190" t="n"/>
    </row>
    <row r="119" s="186">
      <c r="A119" s="43" t="n">
        <v>115</v>
      </c>
      <c r="B119" s="204" t="n"/>
      <c r="C119" s="43" t="inlineStr">
        <is>
          <t>声频大地、
甚低频电磁法</t>
        </is>
      </c>
      <c r="D119" s="53" t="inlineStr">
        <is>
          <t>测点距L (m)</t>
        </is>
      </c>
      <c r="E119" s="54" t="inlineStr">
        <is>
          <t>L＜10</t>
        </is>
      </c>
      <c r="F119" s="43" t="n"/>
      <c r="G119" s="212" t="inlineStr">
        <is>
          <t>点</t>
        </is>
      </c>
      <c r="H119" s="212" t="n"/>
      <c r="I119" s="233" t="n">
        <v>12</v>
      </c>
      <c r="J119" s="234" t="n"/>
      <c r="K119" s="234">
        <f>I119*H119*J119</f>
        <v/>
      </c>
      <c r="L119" s="43" t="inlineStr">
        <is>
          <t>物探</t>
        </is>
      </c>
      <c r="M119" s="216">
        <f>VLOOKUP(L119,{"甲级","1.2";"乙级","1";"丙级","0.8";"物探","0.22"},2,0)</f>
        <v/>
      </c>
      <c r="N119" s="234">
        <f>K119*M119</f>
        <v/>
      </c>
      <c r="O119" s="234">
        <f>K119+N119</f>
        <v/>
      </c>
      <c r="P119" s="241" t="inlineStr">
        <is>
          <t xml:space="preserve"> 表7.2-1</t>
        </is>
      </c>
      <c r="Q119" s="76" t="n"/>
      <c r="R119" s="77" t="n"/>
      <c r="S119" s="72" t="n"/>
      <c r="T119" s="72" t="n"/>
      <c r="U119" s="72" t="n"/>
      <c r="V119" s="72" t="n"/>
      <c r="W119" s="235" t="n"/>
      <c r="X119" s="72" t="n"/>
      <c r="Y119" s="190" t="n"/>
      <c r="Z119" s="190" t="n"/>
      <c r="AA119" s="190" t="n"/>
      <c r="AB119" s="190" t="n"/>
      <c r="AC119" s="190" t="n"/>
      <c r="AD119" s="236" t="n"/>
      <c r="AE119" s="190" t="n"/>
    </row>
    <row r="120" s="186">
      <c r="A120" s="47" t="n">
        <v>116</v>
      </c>
      <c r="B120" s="204" t="n"/>
      <c r="C120" s="204" t="n"/>
      <c r="D120" s="204" t="n"/>
      <c r="E120" s="54" t="inlineStr">
        <is>
          <t>10＜L≤20</t>
        </is>
      </c>
      <c r="F120" s="43" t="n"/>
      <c r="G120" s="212" t="inlineStr">
        <is>
          <t>点</t>
        </is>
      </c>
      <c r="H120" s="212" t="n"/>
      <c r="I120" s="233" t="n">
        <v>16</v>
      </c>
      <c r="J120" s="234" t="n"/>
      <c r="K120" s="234">
        <f>I120*H120*J120</f>
        <v/>
      </c>
      <c r="L120" s="43" t="inlineStr">
        <is>
          <t>物探</t>
        </is>
      </c>
      <c r="M120" s="216">
        <f>VLOOKUP(L120,{"甲级","1.2";"乙级","1";"丙级","0.8";"物探","0.22"},2,0)</f>
        <v/>
      </c>
      <c r="N120" s="234">
        <f>K120*M120</f>
        <v/>
      </c>
      <c r="O120" s="234">
        <f>K120+N120</f>
        <v/>
      </c>
      <c r="P120" s="241" t="inlineStr">
        <is>
          <t xml:space="preserve"> 表7.2-1</t>
        </is>
      </c>
      <c r="Q120" s="76" t="n"/>
      <c r="R120" s="77" t="n"/>
      <c r="S120" s="72" t="n"/>
      <c r="T120" s="72" t="n"/>
      <c r="U120" s="72" t="n"/>
      <c r="V120" s="72" t="n"/>
      <c r="W120" s="235" t="n"/>
      <c r="X120" s="72" t="n"/>
      <c r="Y120" s="190" t="n"/>
      <c r="Z120" s="190" t="n"/>
      <c r="AA120" s="190" t="n"/>
      <c r="AB120" s="190" t="n"/>
      <c r="AC120" s="190" t="n"/>
      <c r="AD120" s="236" t="n"/>
      <c r="AE120" s="190" t="n"/>
    </row>
    <row r="121" s="186">
      <c r="A121" s="43" t="n">
        <v>117</v>
      </c>
      <c r="B121" s="204" t="n"/>
      <c r="C121" s="204" t="n"/>
      <c r="D121" s="204" t="n"/>
      <c r="E121" s="54" t="inlineStr">
        <is>
          <t>20＜L≤50</t>
        </is>
      </c>
      <c r="F121" s="43" t="n"/>
      <c r="G121" s="212" t="inlineStr">
        <is>
          <t>点</t>
        </is>
      </c>
      <c r="H121" s="212" t="n"/>
      <c r="I121" s="233" t="n">
        <v>18</v>
      </c>
      <c r="J121" s="234" t="n"/>
      <c r="K121" s="234">
        <f>I121*H121*J121</f>
        <v/>
      </c>
      <c r="L121" s="43" t="inlineStr">
        <is>
          <t>物探</t>
        </is>
      </c>
      <c r="M121" s="216">
        <f>VLOOKUP(L121,{"甲级","1.2";"乙级","1";"丙级","0.8";"物探","0.22"},2,0)</f>
        <v/>
      </c>
      <c r="N121" s="234">
        <f>K121*M121</f>
        <v/>
      </c>
      <c r="O121" s="234">
        <f>K121+N121</f>
        <v/>
      </c>
      <c r="P121" s="241" t="inlineStr">
        <is>
          <t xml:space="preserve"> 表7.2-1</t>
        </is>
      </c>
      <c r="Q121" s="76" t="n"/>
      <c r="R121" s="77" t="n"/>
      <c r="S121" s="72" t="n"/>
      <c r="T121" s="72" t="n"/>
      <c r="U121" s="72" t="n"/>
      <c r="V121" s="72" t="n"/>
      <c r="W121" s="235" t="n"/>
      <c r="X121" s="72" t="n"/>
      <c r="Y121" s="190" t="n"/>
      <c r="Z121" s="190" t="n"/>
      <c r="AA121" s="190" t="n"/>
      <c r="AB121" s="190" t="n"/>
      <c r="AC121" s="190" t="n"/>
      <c r="AD121" s="236" t="n"/>
      <c r="AE121" s="190" t="n"/>
    </row>
    <row r="122" s="186">
      <c r="A122" s="47" t="n">
        <v>118</v>
      </c>
      <c r="B122" s="204" t="n"/>
      <c r="C122" s="197" t="n"/>
      <c r="D122" s="197" t="n"/>
      <c r="E122" s="54" t="inlineStr">
        <is>
          <t>L＞50</t>
        </is>
      </c>
      <c r="F122" s="43" t="n"/>
      <c r="G122" s="212" t="inlineStr">
        <is>
          <t>点</t>
        </is>
      </c>
      <c r="H122" s="212" t="n"/>
      <c r="I122" s="233" t="n">
        <v>28</v>
      </c>
      <c r="J122" s="234" t="n"/>
      <c r="K122" s="234">
        <f>I122*H122*J122</f>
        <v/>
      </c>
      <c r="L122" s="43" t="inlineStr">
        <is>
          <t>物探</t>
        </is>
      </c>
      <c r="M122" s="216">
        <f>VLOOKUP(L122,{"甲级","1.2";"乙级","1";"丙级","0.8";"物探","0.22"},2,0)</f>
        <v/>
      </c>
      <c r="N122" s="234">
        <f>K122*M122</f>
        <v/>
      </c>
      <c r="O122" s="234">
        <f>K122+N122</f>
        <v/>
      </c>
      <c r="P122" s="241" t="inlineStr">
        <is>
          <t xml:space="preserve"> 表7.2-1</t>
        </is>
      </c>
      <c r="Q122" s="76" t="n"/>
      <c r="R122" s="77" t="n"/>
      <c r="S122" s="72" t="n"/>
      <c r="T122" s="72" t="n"/>
      <c r="U122" s="72" t="n"/>
      <c r="V122" s="72" t="n"/>
      <c r="W122" s="235" t="n"/>
      <c r="X122" s="72" t="n"/>
      <c r="Y122" s="190" t="n"/>
      <c r="Z122" s="190" t="n"/>
      <c r="AA122" s="190" t="n"/>
      <c r="AB122" s="190" t="n"/>
      <c r="AC122" s="190" t="n"/>
      <c r="AD122" s="236" t="n"/>
      <c r="AE122" s="190" t="n"/>
    </row>
    <row r="123" s="186">
      <c r="A123" s="47" t="n">
        <v>120</v>
      </c>
      <c r="B123" s="204" t="n"/>
      <c r="C123" s="43" t="inlineStr">
        <is>
          <t>大地电磁法</t>
        </is>
      </c>
      <c r="D123" s="87" t="inlineStr">
        <is>
          <t>深度
D(m)</t>
        </is>
      </c>
      <c r="E123" s="54" t="inlineStr">
        <is>
          <t>D≤3000</t>
        </is>
      </c>
      <c r="F123" s="43" t="n"/>
      <c r="G123" s="212" t="inlineStr">
        <is>
          <t>点</t>
        </is>
      </c>
      <c r="H123" s="212" t="n"/>
      <c r="I123" s="217" t="n">
        <v>2160</v>
      </c>
      <c r="J123" s="234" t="n"/>
      <c r="K123" s="234">
        <f>I123*H123*J123</f>
        <v/>
      </c>
      <c r="L123" s="43" t="inlineStr">
        <is>
          <t>物探</t>
        </is>
      </c>
      <c r="M123" s="216">
        <f>VLOOKUP(L123,{"甲级","1.2";"乙级","1";"丙级","0.8";"物探","0.22"},2,0)</f>
        <v/>
      </c>
      <c r="N123" s="234">
        <f>K123*M123</f>
        <v/>
      </c>
      <c r="O123" s="234">
        <f>K123+N123</f>
        <v/>
      </c>
      <c r="P123" s="241" t="inlineStr">
        <is>
          <t xml:space="preserve"> 表7.2-1</t>
        </is>
      </c>
      <c r="Q123" s="76" t="n"/>
      <c r="R123" s="77" t="n"/>
      <c r="S123" s="72" t="n"/>
      <c r="T123" s="72" t="n"/>
      <c r="U123" s="72" t="n"/>
      <c r="V123" s="72" t="n"/>
      <c r="W123" s="235" t="n"/>
      <c r="X123" s="72" t="n"/>
      <c r="Y123" s="190" t="n"/>
      <c r="Z123" s="190" t="n"/>
      <c r="AA123" s="190" t="n"/>
      <c r="AB123" s="190" t="n"/>
      <c r="AC123" s="190" t="n"/>
      <c r="AD123" s="236" t="n"/>
      <c r="AE123" s="190" t="n"/>
    </row>
    <row r="124" s="186">
      <c r="A124" s="43" t="n">
        <v>121</v>
      </c>
      <c r="B124" s="204" t="n"/>
      <c r="C124" s="197" t="n"/>
      <c r="D124" s="197" t="n"/>
      <c r="E124" s="54" t="inlineStr">
        <is>
          <t>D＞3000</t>
        </is>
      </c>
      <c r="F124" s="43" t="n"/>
      <c r="G124" s="212" t="inlineStr">
        <is>
          <t>点</t>
        </is>
      </c>
      <c r="H124" s="212" t="n"/>
      <c r="I124" s="217" t="n">
        <v>3600</v>
      </c>
      <c r="J124" s="234" t="n"/>
      <c r="K124" s="234">
        <f>I124*H124*J124</f>
        <v/>
      </c>
      <c r="L124" s="43" t="inlineStr">
        <is>
          <t>物探</t>
        </is>
      </c>
      <c r="M124" s="216">
        <f>VLOOKUP(L124,{"甲级","1.2";"乙级","1";"丙级","0.8";"物探","0.22"},2,0)</f>
        <v/>
      </c>
      <c r="N124" s="234">
        <f>K124*M124</f>
        <v/>
      </c>
      <c r="O124" s="234">
        <f>K124+N124</f>
        <v/>
      </c>
      <c r="P124" s="241" t="inlineStr">
        <is>
          <t xml:space="preserve"> 表7.2-1</t>
        </is>
      </c>
      <c r="Q124" s="76" t="n"/>
      <c r="R124" s="77" t="n"/>
      <c r="S124" s="72" t="n"/>
      <c r="T124" s="72" t="n"/>
      <c r="U124" s="72" t="n"/>
      <c r="V124" s="72" t="n"/>
      <c r="W124" s="235" t="n"/>
      <c r="X124" s="72" t="n"/>
      <c r="Y124" s="190" t="n"/>
      <c r="Z124" s="190" t="n"/>
      <c r="AA124" s="190" t="n"/>
      <c r="AB124" s="190" t="n"/>
      <c r="AC124" s="190" t="n"/>
      <c r="AD124" s="236" t="n"/>
      <c r="AE124" s="190" t="n"/>
    </row>
    <row r="125" s="186">
      <c r="A125" s="47" t="n">
        <v>122</v>
      </c>
      <c r="B125" s="204" t="n"/>
      <c r="C125" s="43" t="inlineStr">
        <is>
          <t>层析成像（CT）</t>
        </is>
      </c>
      <c r="D125" s="54" t="inlineStr">
        <is>
          <t>弹性波</t>
        </is>
      </c>
      <c r="E125" s="196" t="n"/>
      <c r="F125" s="43" t="n"/>
      <c r="G125" s="54" t="inlineStr">
        <is>
          <t>检波点·炮</t>
        </is>
      </c>
      <c r="H125" s="212" t="n"/>
      <c r="I125" s="217" t="n">
        <v>20</v>
      </c>
      <c r="J125" s="234" t="n"/>
      <c r="K125" s="234">
        <f>I125*H125*J125</f>
        <v/>
      </c>
      <c r="L125" s="43" t="inlineStr">
        <is>
          <t>物探</t>
        </is>
      </c>
      <c r="M125" s="216">
        <f>VLOOKUP(L125,{"甲级","1.2";"乙级","1";"丙级","0.8";"物探","0.22"},2,0)</f>
        <v/>
      </c>
      <c r="N125" s="234">
        <f>K125*M125</f>
        <v/>
      </c>
      <c r="O125" s="234">
        <f>K125+N125</f>
        <v/>
      </c>
      <c r="P125" s="241" t="inlineStr">
        <is>
          <t xml:space="preserve"> 表7.2-1</t>
        </is>
      </c>
      <c r="Q125" s="76" t="n"/>
      <c r="R125" s="77" t="n"/>
      <c r="S125" s="72" t="n"/>
      <c r="T125" s="72" t="n"/>
      <c r="U125" s="72" t="n"/>
      <c r="V125" s="72" t="n"/>
      <c r="W125" s="235" t="n"/>
      <c r="X125" s="72" t="n"/>
      <c r="Y125" s="190" t="n"/>
      <c r="Z125" s="190" t="n"/>
      <c r="AA125" s="190" t="n"/>
      <c r="AB125" s="190" t="n"/>
      <c r="AC125" s="190" t="n"/>
      <c r="AD125" s="236" t="n"/>
      <c r="AE125" s="190" t="n"/>
    </row>
    <row r="126" s="186">
      <c r="A126" s="43" t="n">
        <v>123</v>
      </c>
      <c r="B126" s="204" t="n"/>
      <c r="C126" s="197" t="n"/>
      <c r="D126" s="54" t="inlineStr">
        <is>
          <t>电磁波</t>
        </is>
      </c>
      <c r="E126" s="196" t="n"/>
      <c r="F126" s="43" t="n"/>
      <c r="G126" s="54" t="inlineStr">
        <is>
          <t>射线对</t>
        </is>
      </c>
      <c r="H126" s="212" t="n"/>
      <c r="I126" s="217" t="n">
        <v>14</v>
      </c>
      <c r="J126" s="234" t="n"/>
      <c r="K126" s="234">
        <f>I126*H126*J126</f>
        <v/>
      </c>
      <c r="L126" s="43" t="inlineStr">
        <is>
          <t>物探</t>
        </is>
      </c>
      <c r="M126" s="216">
        <f>VLOOKUP(L126,{"甲级","1.2";"乙级","1";"丙级","0.8";"物探","0.22"},2,0)</f>
        <v/>
      </c>
      <c r="N126" s="234">
        <f>K126*M126</f>
        <v/>
      </c>
      <c r="O126" s="234">
        <f>K126+N126</f>
        <v/>
      </c>
      <c r="P126" s="241" t="inlineStr">
        <is>
          <t xml:space="preserve"> 表7.2-1</t>
        </is>
      </c>
      <c r="Q126" s="76" t="n"/>
      <c r="R126" s="77" t="n"/>
      <c r="S126" s="72" t="n"/>
      <c r="T126" s="72" t="n"/>
      <c r="U126" s="72" t="n"/>
      <c r="V126" s="72" t="n"/>
      <c r="W126" s="235" t="n"/>
      <c r="X126" s="72" t="n"/>
      <c r="Y126" s="190" t="n"/>
      <c r="Z126" s="190" t="n"/>
      <c r="AA126" s="190" t="n"/>
      <c r="AB126" s="190" t="n"/>
      <c r="AC126" s="190" t="n"/>
      <c r="AD126" s="236" t="n"/>
      <c r="AE126" s="190" t="n"/>
    </row>
    <row r="127" s="186">
      <c r="A127" s="47" t="n">
        <v>124</v>
      </c>
      <c r="B127" s="204" t="n"/>
      <c r="C127" s="43" t="inlineStr">
        <is>
          <t>地质
雷达</t>
        </is>
      </c>
      <c r="D127" s="53" t="inlineStr">
        <is>
          <t>工作方式</t>
        </is>
      </c>
      <c r="E127" s="54" t="inlineStr">
        <is>
          <t>点测</t>
        </is>
      </c>
      <c r="F127" s="43" t="n"/>
      <c r="G127" s="54" t="inlineStr">
        <is>
          <t>点</t>
        </is>
      </c>
      <c r="H127" s="212" t="n"/>
      <c r="I127" s="217" t="n">
        <v>20</v>
      </c>
      <c r="J127" s="234" t="n"/>
      <c r="K127" s="234">
        <f>I127*H127*J127</f>
        <v/>
      </c>
      <c r="L127" s="43" t="inlineStr">
        <is>
          <t>物探</t>
        </is>
      </c>
      <c r="M127" s="216">
        <f>VLOOKUP(L127,{"甲级","1.2";"乙级","1";"丙级","0.8";"物探","0.22"},2,0)</f>
        <v/>
      </c>
      <c r="N127" s="234">
        <f>K127*M127</f>
        <v/>
      </c>
      <c r="O127" s="234">
        <f>K127+N127</f>
        <v/>
      </c>
      <c r="P127" s="241" t="inlineStr">
        <is>
          <t xml:space="preserve"> 表7.2-1</t>
        </is>
      </c>
      <c r="Q127" s="76" t="n"/>
      <c r="R127" s="77" t="n"/>
      <c r="S127" s="72" t="n"/>
      <c r="T127" s="72" t="n"/>
      <c r="U127" s="72" t="n"/>
      <c r="V127" s="72" t="n"/>
      <c r="W127" s="235" t="n"/>
      <c r="X127" s="72" t="n"/>
      <c r="Y127" s="190" t="n"/>
      <c r="Z127" s="190" t="n"/>
      <c r="AA127" s="190" t="n"/>
      <c r="AB127" s="190" t="n"/>
      <c r="AC127" s="190" t="n"/>
      <c r="AD127" s="236" t="n"/>
      <c r="AE127" s="190" t="n"/>
    </row>
    <row r="128" s="186">
      <c r="A128" s="43" t="n">
        <v>125</v>
      </c>
      <c r="B128" s="204" t="n"/>
      <c r="C128" s="197" t="n"/>
      <c r="D128" s="197" t="n"/>
      <c r="E128" s="54" t="inlineStr">
        <is>
          <t>连续</t>
        </is>
      </c>
      <c r="F128" s="43" t="n"/>
      <c r="G128" s="54" t="inlineStr">
        <is>
          <t>Km</t>
        </is>
      </c>
      <c r="H128" s="212" t="n"/>
      <c r="I128" s="217" t="n">
        <v>13500</v>
      </c>
      <c r="J128" s="234" t="n"/>
      <c r="K128" s="234">
        <f>I128*H128*J128</f>
        <v/>
      </c>
      <c r="L128" s="43" t="inlineStr">
        <is>
          <t>物探</t>
        </is>
      </c>
      <c r="M128" s="216">
        <f>VLOOKUP(L128,{"甲级","1.2";"乙级","1";"丙级","0.8";"物探","0.22"},2,0)</f>
        <v/>
      </c>
      <c r="N128" s="234">
        <f>K128*M128</f>
        <v/>
      </c>
      <c r="O128" s="234">
        <f>K128+N128</f>
        <v/>
      </c>
      <c r="P128" s="241" t="inlineStr">
        <is>
          <t xml:space="preserve"> 表7.2-1</t>
        </is>
      </c>
      <c r="Q128" s="76" t="n"/>
      <c r="R128" s="77" t="n"/>
      <c r="S128" s="72" t="n"/>
      <c r="T128" s="72" t="n"/>
      <c r="U128" s="72" t="n"/>
      <c r="V128" s="72" t="n"/>
      <c r="W128" s="235" t="n"/>
      <c r="X128" s="72" t="n"/>
      <c r="Y128" s="190" t="n"/>
      <c r="Z128" s="190" t="n"/>
      <c r="AA128" s="190" t="n"/>
      <c r="AB128" s="190" t="n"/>
      <c r="AC128" s="190" t="n"/>
      <c r="AD128" s="236" t="n"/>
      <c r="AE128" s="190" t="n"/>
    </row>
    <row r="129" s="186">
      <c r="A129" s="47" t="n">
        <v>126</v>
      </c>
      <c r="B129" s="204" t="n"/>
      <c r="C129" s="43" t="inlineStr">
        <is>
          <t>瞬变
电磁</t>
        </is>
      </c>
      <c r="D129" s="87" t="inlineStr">
        <is>
          <t>外
框
边
长
（m）</t>
        </is>
      </c>
      <c r="E129" s="54" t="n">
        <v>10</v>
      </c>
      <c r="F129" s="43" t="n"/>
      <c r="G129" s="92" t="inlineStr">
        <is>
          <t>测点</t>
        </is>
      </c>
      <c r="H129" s="212" t="n"/>
      <c r="I129" s="217" t="n">
        <v>216</v>
      </c>
      <c r="J129" s="234" t="n"/>
      <c r="K129" s="234">
        <f>I129*H129*J129</f>
        <v/>
      </c>
      <c r="L129" s="43" t="inlineStr">
        <is>
          <t>物探</t>
        </is>
      </c>
      <c r="M129" s="216">
        <f>VLOOKUP(L129,{"甲级","1.2";"乙级","1";"丙级","0.8";"物探","0.22"},2,0)</f>
        <v/>
      </c>
      <c r="N129" s="234">
        <f>K129*M129</f>
        <v/>
      </c>
      <c r="O129" s="234">
        <f>K129+N129</f>
        <v/>
      </c>
      <c r="P129" s="241" t="inlineStr">
        <is>
          <t xml:space="preserve"> 表7.2-1</t>
        </is>
      </c>
      <c r="Q129" s="76" t="n"/>
      <c r="R129" s="77" t="n"/>
      <c r="S129" s="72" t="n"/>
      <c r="T129" s="72" t="n"/>
      <c r="U129" s="72" t="n"/>
      <c r="V129" s="72" t="n"/>
      <c r="W129" s="235" t="n"/>
      <c r="X129" s="72" t="n"/>
      <c r="Y129" s="190" t="n"/>
      <c r="Z129" s="190" t="n"/>
      <c r="AA129" s="190" t="n"/>
      <c r="AB129" s="190" t="n"/>
      <c r="AC129" s="190" t="n"/>
      <c r="AD129" s="236" t="n"/>
      <c r="AE129" s="190" t="n"/>
    </row>
    <row r="130" s="186">
      <c r="A130" s="43" t="n">
        <v>127</v>
      </c>
      <c r="B130" s="204" t="n"/>
      <c r="C130" s="204" t="n"/>
      <c r="D130" s="204" t="n"/>
      <c r="E130" s="54" t="n">
        <v>20</v>
      </c>
      <c r="F130" s="43" t="n"/>
      <c r="G130" s="92" t="inlineStr">
        <is>
          <t>测点</t>
        </is>
      </c>
      <c r="H130" s="212" t="n"/>
      <c r="I130" s="217" t="n">
        <v>360</v>
      </c>
      <c r="J130" s="234" t="n"/>
      <c r="K130" s="234">
        <f>I130*H130*J130</f>
        <v/>
      </c>
      <c r="L130" s="43" t="inlineStr">
        <is>
          <t>物探</t>
        </is>
      </c>
      <c r="M130" s="216">
        <f>VLOOKUP(L130,{"甲级","1.2";"乙级","1";"丙级","0.8";"物探","0.22"},2,0)</f>
        <v/>
      </c>
      <c r="N130" s="234">
        <f>K130*M130</f>
        <v/>
      </c>
      <c r="O130" s="234">
        <f>K130+N130</f>
        <v/>
      </c>
      <c r="P130" s="241" t="inlineStr">
        <is>
          <t xml:space="preserve"> 表7.2-1</t>
        </is>
      </c>
      <c r="Q130" s="76" t="n"/>
      <c r="R130" s="77" t="n"/>
      <c r="S130" s="72" t="n"/>
      <c r="T130" s="72" t="n"/>
      <c r="U130" s="72" t="n"/>
      <c r="V130" s="72" t="n"/>
      <c r="W130" s="235" t="n"/>
      <c r="X130" s="72" t="n"/>
      <c r="Y130" s="190" t="n"/>
      <c r="Z130" s="190" t="n"/>
      <c r="AA130" s="190" t="n"/>
      <c r="AB130" s="190" t="n"/>
      <c r="AC130" s="190" t="n"/>
      <c r="AD130" s="236" t="n"/>
      <c r="AE130" s="190" t="n"/>
    </row>
    <row r="131" s="186">
      <c r="A131" s="47" t="n">
        <v>128</v>
      </c>
      <c r="B131" s="204" t="n"/>
      <c r="C131" s="204" t="n"/>
      <c r="D131" s="204" t="n"/>
      <c r="E131" s="54" t="n">
        <v>50</v>
      </c>
      <c r="F131" s="43" t="n"/>
      <c r="G131" s="92" t="inlineStr">
        <is>
          <t>测点</t>
        </is>
      </c>
      <c r="H131" s="212" t="n"/>
      <c r="I131" s="217" t="n">
        <v>720</v>
      </c>
      <c r="J131" s="234" t="n"/>
      <c r="K131" s="234">
        <f>I131*H131*J131</f>
        <v/>
      </c>
      <c r="L131" s="43" t="inlineStr">
        <is>
          <t>物探</t>
        </is>
      </c>
      <c r="M131" s="216">
        <f>VLOOKUP(L131,{"甲级","1.2";"乙级","1";"丙级","0.8";"物探","0.22"},2,0)</f>
        <v/>
      </c>
      <c r="N131" s="234">
        <f>K131*M131</f>
        <v/>
      </c>
      <c r="O131" s="234">
        <f>K131+N131</f>
        <v/>
      </c>
      <c r="P131" s="241" t="inlineStr">
        <is>
          <t xml:space="preserve"> 表7.2-1</t>
        </is>
      </c>
      <c r="Q131" s="76" t="n"/>
      <c r="R131" s="77" t="n"/>
      <c r="S131" s="72" t="n"/>
      <c r="T131" s="72" t="n"/>
      <c r="U131" s="72" t="n"/>
      <c r="V131" s="72" t="n"/>
      <c r="W131" s="235" t="n"/>
      <c r="X131" s="72" t="n"/>
      <c r="Y131" s="190" t="n"/>
      <c r="Z131" s="190" t="n"/>
      <c r="AA131" s="190" t="n"/>
      <c r="AB131" s="190" t="n"/>
      <c r="AC131" s="190" t="n"/>
      <c r="AD131" s="236" t="n"/>
      <c r="AE131" s="190" t="n"/>
    </row>
    <row r="132" s="186">
      <c r="A132" s="43" t="n">
        <v>129</v>
      </c>
      <c r="B132" s="204" t="n"/>
      <c r="C132" s="204" t="n"/>
      <c r="D132" s="204" t="n"/>
      <c r="E132" s="54" t="n">
        <v>100</v>
      </c>
      <c r="F132" s="43" t="n"/>
      <c r="G132" s="92" t="inlineStr">
        <is>
          <t>测点</t>
        </is>
      </c>
      <c r="H132" s="212" t="n"/>
      <c r="I132" s="217" t="n">
        <v>2160</v>
      </c>
      <c r="J132" s="234" t="n"/>
      <c r="K132" s="234">
        <f>I132*H132*J132</f>
        <v/>
      </c>
      <c r="L132" s="43" t="inlineStr">
        <is>
          <t>物探</t>
        </is>
      </c>
      <c r="M132" s="216">
        <f>VLOOKUP(L132,{"甲级","1.2";"乙级","1";"丙级","0.8";"物探","0.22"},2,0)</f>
        <v/>
      </c>
      <c r="N132" s="234">
        <f>K132*M132</f>
        <v/>
      </c>
      <c r="O132" s="234">
        <f>K132+N132</f>
        <v/>
      </c>
      <c r="P132" s="241" t="inlineStr">
        <is>
          <t xml:space="preserve"> 表7.2-1</t>
        </is>
      </c>
      <c r="Q132" s="76" t="n"/>
      <c r="R132" s="77" t="n"/>
      <c r="S132" s="72" t="n"/>
      <c r="T132" s="72" t="n"/>
      <c r="U132" s="72" t="n"/>
      <c r="V132" s="72" t="n"/>
      <c r="W132" s="235" t="n"/>
      <c r="X132" s="72" t="n"/>
      <c r="Y132" s="190" t="n"/>
      <c r="Z132" s="190" t="n"/>
      <c r="AA132" s="190" t="n"/>
      <c r="AB132" s="190" t="n"/>
      <c r="AC132" s="190" t="n"/>
      <c r="AD132" s="236" t="n"/>
      <c r="AE132" s="190" t="n"/>
    </row>
    <row r="133" s="186">
      <c r="A133" s="47" t="n">
        <v>130</v>
      </c>
      <c r="B133" s="204" t="n"/>
      <c r="C133" s="197" t="n"/>
      <c r="D133" s="197" t="n"/>
      <c r="E133" s="54" t="n">
        <v>200</v>
      </c>
      <c r="F133" s="43" t="n"/>
      <c r="G133" s="92" t="inlineStr">
        <is>
          <t>测点</t>
        </is>
      </c>
      <c r="H133" s="212" t="n"/>
      <c r="I133" s="217" t="n">
        <v>3600</v>
      </c>
      <c r="J133" s="234" t="n"/>
      <c r="K133" s="234">
        <f>I133*H133*J133</f>
        <v/>
      </c>
      <c r="L133" s="43" t="inlineStr">
        <is>
          <t>物探</t>
        </is>
      </c>
      <c r="M133" s="216">
        <f>VLOOKUP(L133,{"甲级","1.2";"乙级","1";"丙级","0.8";"物探","0.22"},2,0)</f>
        <v/>
      </c>
      <c r="N133" s="234">
        <f>K133*M133</f>
        <v/>
      </c>
      <c r="O133" s="234">
        <f>K133+N133</f>
        <v/>
      </c>
      <c r="P133" s="241" t="inlineStr">
        <is>
          <t xml:space="preserve"> 表7.2-1</t>
        </is>
      </c>
      <c r="Q133" s="76" t="n"/>
      <c r="R133" s="77" t="n"/>
      <c r="S133" s="72" t="n"/>
      <c r="T133" s="72" t="n"/>
      <c r="U133" s="72" t="n"/>
      <c r="V133" s="72" t="n"/>
      <c r="W133" s="235" t="n"/>
      <c r="X133" s="72" t="n"/>
      <c r="Y133" s="190" t="n"/>
      <c r="Z133" s="190" t="n"/>
      <c r="AA133" s="190" t="n"/>
      <c r="AB133" s="190" t="n"/>
      <c r="AC133" s="190" t="n"/>
      <c r="AD133" s="236" t="n"/>
      <c r="AE133" s="190" t="n"/>
    </row>
    <row r="134" s="186">
      <c r="A134" s="43" t="n">
        <v>131</v>
      </c>
      <c r="B134" s="204" t="n"/>
      <c r="C134" s="43" t="inlineStr">
        <is>
          <t>微重力
勘探</t>
        </is>
      </c>
      <c r="D134" s="53" t="inlineStr">
        <is>
          <t>点距L(m)</t>
        </is>
      </c>
      <c r="E134" s="54" t="inlineStr">
        <is>
          <t>L≤5</t>
        </is>
      </c>
      <c r="F134" s="43" t="n"/>
      <c r="G134" s="92" t="inlineStr">
        <is>
          <t>测点</t>
        </is>
      </c>
      <c r="H134" s="212" t="n"/>
      <c r="I134" s="217" t="n">
        <v>27</v>
      </c>
      <c r="J134" s="234" t="n"/>
      <c r="K134" s="234">
        <f>I134*H134*J134</f>
        <v/>
      </c>
      <c r="L134" s="43" t="inlineStr">
        <is>
          <t>物探</t>
        </is>
      </c>
      <c r="M134" s="216">
        <f>VLOOKUP(L134,{"甲级","1.2";"乙级","1";"丙级","0.8";"物探","0.22"},2,0)</f>
        <v/>
      </c>
      <c r="N134" s="234">
        <f>K134*M134</f>
        <v/>
      </c>
      <c r="O134" s="234">
        <f>K134+N134</f>
        <v/>
      </c>
      <c r="P134" s="241" t="inlineStr">
        <is>
          <t xml:space="preserve"> 表7.2-1</t>
        </is>
      </c>
      <c r="Q134" s="76" t="n"/>
      <c r="R134" s="77" t="n"/>
      <c r="S134" s="72" t="n"/>
      <c r="T134" s="72" t="n"/>
      <c r="U134" s="72" t="n"/>
      <c r="V134" s="72" t="n"/>
      <c r="W134" s="235" t="n"/>
      <c r="X134" s="72" t="n"/>
      <c r="Y134" s="190" t="n"/>
      <c r="Z134" s="190" t="n"/>
      <c r="AA134" s="190" t="n"/>
      <c r="AB134" s="190" t="n"/>
      <c r="AC134" s="190" t="n"/>
      <c r="AD134" s="236" t="n"/>
      <c r="AE134" s="190" t="n"/>
    </row>
    <row r="135" s="186">
      <c r="A135" s="47" t="n">
        <v>132</v>
      </c>
      <c r="B135" s="204" t="n"/>
      <c r="C135" s="204" t="n"/>
      <c r="D135" s="204" t="n"/>
      <c r="E135" s="54" t="inlineStr">
        <is>
          <t>5＜L≤20</t>
        </is>
      </c>
      <c r="F135" s="43" t="n"/>
      <c r="G135" s="92" t="inlineStr">
        <is>
          <t>测点</t>
        </is>
      </c>
      <c r="H135" s="212" t="n"/>
      <c r="I135" s="217" t="n">
        <v>36</v>
      </c>
      <c r="J135" s="234" t="n"/>
      <c r="K135" s="234">
        <f>I135*H135*J135</f>
        <v/>
      </c>
      <c r="L135" s="43" t="inlineStr">
        <is>
          <t>物探</t>
        </is>
      </c>
      <c r="M135" s="216">
        <f>VLOOKUP(L135,{"甲级","1.2";"乙级","1";"丙级","0.8";"物探","0.22"},2,0)</f>
        <v/>
      </c>
      <c r="N135" s="234">
        <f>K135*M135</f>
        <v/>
      </c>
      <c r="O135" s="234">
        <f>K135+N135</f>
        <v/>
      </c>
      <c r="P135" s="241" t="inlineStr">
        <is>
          <t xml:space="preserve"> 表7.2-1</t>
        </is>
      </c>
      <c r="Q135" s="76" t="n"/>
      <c r="R135" s="77" t="n"/>
      <c r="S135" s="72" t="n"/>
      <c r="T135" s="72" t="n"/>
      <c r="U135" s="72" t="n"/>
      <c r="V135" s="72" t="n"/>
      <c r="W135" s="235" t="n"/>
      <c r="X135" s="72" t="n"/>
      <c r="Y135" s="190" t="n"/>
      <c r="Z135" s="190" t="n"/>
      <c r="AA135" s="190" t="n"/>
      <c r="AB135" s="190" t="n"/>
      <c r="AC135" s="190" t="n"/>
      <c r="AD135" s="236" t="n"/>
      <c r="AE135" s="190" t="n"/>
    </row>
    <row r="136" s="186">
      <c r="A136" s="43" t="n">
        <v>133</v>
      </c>
      <c r="B136" s="204" t="n"/>
      <c r="C136" s="197" t="n"/>
      <c r="D136" s="197" t="n"/>
      <c r="E136" s="54" t="inlineStr">
        <is>
          <t>20＜L≤50</t>
        </is>
      </c>
      <c r="F136" s="43" t="n"/>
      <c r="G136" s="92" t="inlineStr">
        <is>
          <t>测点</t>
        </is>
      </c>
      <c r="H136" s="212" t="n"/>
      <c r="I136" s="217" t="n">
        <v>54</v>
      </c>
      <c r="J136" s="234" t="n"/>
      <c r="K136" s="234">
        <f>I136*H136*J136</f>
        <v/>
      </c>
      <c r="L136" s="43" t="inlineStr">
        <is>
          <t>物探</t>
        </is>
      </c>
      <c r="M136" s="216">
        <f>VLOOKUP(L136,{"甲级","1.2";"乙级","1";"丙级","0.8";"物探","0.22"},2,0)</f>
        <v/>
      </c>
      <c r="N136" s="234">
        <f>K136*M136</f>
        <v/>
      </c>
      <c r="O136" s="234">
        <f>K136+N136</f>
        <v/>
      </c>
      <c r="P136" s="241" t="inlineStr">
        <is>
          <t xml:space="preserve"> 表7.2-1</t>
        </is>
      </c>
      <c r="Q136" s="76" t="n"/>
      <c r="R136" s="77" t="n"/>
      <c r="S136" s="72" t="n"/>
      <c r="T136" s="72" t="n"/>
      <c r="U136" s="72" t="n"/>
      <c r="V136" s="72" t="n"/>
      <c r="W136" s="235" t="n"/>
      <c r="X136" s="72" t="n"/>
      <c r="Y136" s="190" t="n"/>
      <c r="Z136" s="190" t="n"/>
      <c r="AA136" s="190" t="n"/>
      <c r="AB136" s="190" t="n"/>
      <c r="AC136" s="190" t="n"/>
      <c r="AD136" s="236" t="n"/>
      <c r="AE136" s="190" t="n"/>
    </row>
    <row r="137" s="186">
      <c r="A137" s="47" t="n">
        <v>134</v>
      </c>
      <c r="B137" s="204" t="n"/>
      <c r="C137" s="43" t="inlineStr">
        <is>
          <t>地下管线探测</t>
        </is>
      </c>
      <c r="D137" s="54" t="inlineStr">
        <is>
          <t>电缆（电力、通讯等）</t>
        </is>
      </c>
      <c r="E137" s="196" t="n"/>
      <c r="F137" s="43" t="inlineStr">
        <is>
          <t>简单</t>
        </is>
      </c>
      <c r="G137" s="212" t="inlineStr">
        <is>
          <t>km</t>
        </is>
      </c>
      <c r="H137" s="212" t="n"/>
      <c r="I137" s="217">
        <f>VLOOKUP(F137,{"简单","1800";"中等","3600";"复杂","6300"},2,0)</f>
        <v/>
      </c>
      <c r="J137" s="234" t="n"/>
      <c r="K137" s="234">
        <f>I137*H137*J137</f>
        <v/>
      </c>
      <c r="L137" s="43" t="inlineStr">
        <is>
          <t>物探</t>
        </is>
      </c>
      <c r="M137" s="216">
        <f>VLOOKUP(L137,{"甲级","1.2";"乙级","1";"丙级","0.8";"物探","0.22"},2,0)</f>
        <v/>
      </c>
      <c r="N137" s="234">
        <f>K137*M137</f>
        <v/>
      </c>
      <c r="O137" s="234">
        <f>K137+N137</f>
        <v/>
      </c>
      <c r="P137" s="241" t="inlineStr">
        <is>
          <t xml:space="preserve"> 表7.2-1</t>
        </is>
      </c>
      <c r="Q137" s="76" t="n"/>
      <c r="R137" s="77" t="n"/>
      <c r="S137" s="72" t="n"/>
      <c r="T137" s="72" t="n"/>
      <c r="U137" s="72" t="n"/>
      <c r="V137" s="72" t="n"/>
      <c r="W137" s="235" t="n"/>
      <c r="X137" s="72" t="n"/>
      <c r="Y137" s="190" t="n"/>
      <c r="Z137" s="190" t="n"/>
      <c r="AA137" s="190" t="n"/>
      <c r="AB137" s="190" t="n"/>
      <c r="AC137" s="190" t="n"/>
      <c r="AD137" s="236" t="n"/>
      <c r="AE137" s="190" t="n"/>
    </row>
    <row r="138" s="186">
      <c r="A138" s="43" t="n">
        <v>135</v>
      </c>
      <c r="B138" s="204" t="n"/>
      <c r="C138" s="204" t="n"/>
      <c r="D138" s="54" t="inlineStr">
        <is>
          <t>金属管道</t>
        </is>
      </c>
      <c r="E138" s="196" t="n"/>
      <c r="F138" s="43" t="inlineStr">
        <is>
          <t>简单</t>
        </is>
      </c>
      <c r="G138" s="212" t="inlineStr">
        <is>
          <t>km</t>
        </is>
      </c>
      <c r="H138" s="212" t="n"/>
      <c r="I138" s="217">
        <f>VLOOKUP(F138,{"简单","2250";"中等","4500";"复杂","7200"},2,0)</f>
        <v/>
      </c>
      <c r="J138" s="234" t="n"/>
      <c r="K138" s="234">
        <f>I138*H138*J138</f>
        <v/>
      </c>
      <c r="L138" s="43" t="inlineStr">
        <is>
          <t>物探</t>
        </is>
      </c>
      <c r="M138" s="216">
        <f>VLOOKUP(L138,{"甲级","1.2";"乙级","1";"丙级","0.8";"物探","0.22"},2,0)</f>
        <v/>
      </c>
      <c r="N138" s="234">
        <f>K138*M138</f>
        <v/>
      </c>
      <c r="O138" s="234">
        <f>K138+N138</f>
        <v/>
      </c>
      <c r="P138" s="241" t="inlineStr">
        <is>
          <t xml:space="preserve"> 表7.2-1</t>
        </is>
      </c>
      <c r="Q138" s="76" t="n"/>
      <c r="R138" s="77" t="n"/>
      <c r="S138" s="72" t="n"/>
      <c r="T138" s="72" t="n"/>
      <c r="U138" s="72" t="n"/>
      <c r="V138" s="72" t="n"/>
      <c r="W138" s="235" t="n"/>
      <c r="X138" s="72" t="n"/>
      <c r="Y138" s="190" t="n"/>
      <c r="Z138" s="190" t="n"/>
      <c r="AA138" s="190" t="n"/>
      <c r="AB138" s="190" t="n"/>
      <c r="AC138" s="190" t="n"/>
      <c r="AD138" s="236" t="n"/>
      <c r="AE138" s="190" t="n"/>
    </row>
    <row r="139" s="186">
      <c r="A139" s="47" t="n">
        <v>136</v>
      </c>
      <c r="B139" s="204" t="n"/>
      <c r="C139" s="204" t="n"/>
      <c r="D139" s="54" t="inlineStr">
        <is>
          <t>非金属管道</t>
        </is>
      </c>
      <c r="E139" s="196" t="n"/>
      <c r="F139" s="43" t="inlineStr">
        <is>
          <t>简单</t>
        </is>
      </c>
      <c r="G139" s="212" t="inlineStr">
        <is>
          <t>km</t>
        </is>
      </c>
      <c r="H139" s="212" t="n"/>
      <c r="I139" s="217">
        <f>VLOOKUP(F139,{"简单","2700";"中等","5400";"复杂","9000"},2,0)</f>
        <v/>
      </c>
      <c r="J139" s="234" t="n"/>
      <c r="K139" s="234">
        <f>I139*H139*J139</f>
        <v/>
      </c>
      <c r="L139" s="43" t="inlineStr">
        <is>
          <t>物探</t>
        </is>
      </c>
      <c r="M139" s="216">
        <f>VLOOKUP(L139,{"甲级","1.2";"乙级","1";"丙级","0.8";"物探","0.22"},2,0)</f>
        <v/>
      </c>
      <c r="N139" s="234">
        <f>K139*M139</f>
        <v/>
      </c>
      <c r="O139" s="234">
        <f>K139+N139</f>
        <v/>
      </c>
      <c r="P139" s="241" t="inlineStr">
        <is>
          <t xml:space="preserve"> 表7.2-1</t>
        </is>
      </c>
      <c r="Q139" s="76" t="n"/>
      <c r="R139" s="77" t="n"/>
      <c r="S139" s="72" t="n"/>
      <c r="T139" s="72" t="n"/>
      <c r="U139" s="72" t="n"/>
      <c r="V139" s="72" t="n"/>
      <c r="W139" s="235" t="n"/>
      <c r="X139" s="72" t="n"/>
      <c r="Y139" s="190" t="n"/>
      <c r="Z139" s="190" t="n"/>
      <c r="AA139" s="190" t="n"/>
      <c r="AB139" s="190" t="n"/>
      <c r="AC139" s="190" t="n"/>
      <c r="AD139" s="236" t="n"/>
      <c r="AE139" s="190" t="n"/>
    </row>
    <row r="140" s="186">
      <c r="A140" s="43" t="n">
        <v>137</v>
      </c>
      <c r="B140" s="204" t="n"/>
      <c r="C140" s="204" t="n"/>
      <c r="D140" s="54" t="inlineStr">
        <is>
          <t>下水道（有窨井）</t>
        </is>
      </c>
      <c r="E140" s="196" t="n"/>
      <c r="F140" s="43" t="inlineStr">
        <is>
          <t>简单</t>
        </is>
      </c>
      <c r="G140" s="212" t="inlineStr">
        <is>
          <t>km</t>
        </is>
      </c>
      <c r="H140" s="212" t="n"/>
      <c r="I140" s="217">
        <f>VLOOKUP(F140,{"简单","1350";"中等","2700";"复杂","5400"},2,0)</f>
        <v/>
      </c>
      <c r="J140" s="234" t="n"/>
      <c r="K140" s="234">
        <f>I140*H140*J140</f>
        <v/>
      </c>
      <c r="L140" s="43" t="inlineStr">
        <is>
          <t>物探</t>
        </is>
      </c>
      <c r="M140" s="216">
        <f>VLOOKUP(L140,{"甲级","1.2";"乙级","1";"丙级","0.8";"物探","0.22"},2,0)</f>
        <v/>
      </c>
      <c r="N140" s="234">
        <f>K140*M140</f>
        <v/>
      </c>
      <c r="O140" s="234">
        <f>K140+N140</f>
        <v/>
      </c>
      <c r="P140" s="241" t="inlineStr">
        <is>
          <t xml:space="preserve"> 表7.2-1</t>
        </is>
      </c>
      <c r="Q140" s="76" t="n"/>
      <c r="R140" s="77" t="n"/>
      <c r="S140" s="72" t="n"/>
      <c r="T140" s="72" t="n"/>
      <c r="U140" s="72" t="n"/>
      <c r="V140" s="72" t="n"/>
      <c r="W140" s="235" t="n"/>
      <c r="X140" s="72" t="n"/>
      <c r="Y140" s="190" t="n"/>
      <c r="Z140" s="190" t="n"/>
      <c r="AA140" s="190" t="n"/>
      <c r="AB140" s="190" t="n"/>
      <c r="AC140" s="190" t="n"/>
      <c r="AD140" s="236" t="n"/>
      <c r="AE140" s="190" t="n"/>
    </row>
    <row r="141" s="186">
      <c r="A141" s="47" t="n">
        <v>138</v>
      </c>
      <c r="B141" s="204" t="n"/>
      <c r="C141" s="197" t="n"/>
      <c r="D141" s="54" t="inlineStr">
        <is>
          <t>盲探管线</t>
        </is>
      </c>
      <c r="E141" s="196" t="n"/>
      <c r="F141" s="43" t="inlineStr">
        <is>
          <t>简单</t>
        </is>
      </c>
      <c r="G141" s="212" t="inlineStr">
        <is>
          <t>m2</t>
        </is>
      </c>
      <c r="H141" s="212" t="n"/>
      <c r="I141" s="217">
        <f>VLOOKUP(F141,{"简单","1";"中等","1.5";"复杂","3"},2,0)</f>
        <v/>
      </c>
      <c r="J141" s="234" t="n"/>
      <c r="K141" s="234">
        <f>I141*H141*J141</f>
        <v/>
      </c>
      <c r="L141" s="43" t="inlineStr">
        <is>
          <t>物探</t>
        </is>
      </c>
      <c r="M141" s="216">
        <f>VLOOKUP(L141,{"甲级","1.2";"乙级","1";"丙级","0.8";"物探","0.22"},2,0)</f>
        <v/>
      </c>
      <c r="N141" s="234">
        <f>K141*M141</f>
        <v/>
      </c>
      <c r="O141" s="234">
        <f>K141+N141</f>
        <v/>
      </c>
      <c r="P141" s="241" t="inlineStr">
        <is>
          <t xml:space="preserve"> 表7.2-1</t>
        </is>
      </c>
      <c r="Q141" s="76" t="n"/>
      <c r="R141" s="77" t="n"/>
      <c r="S141" s="72" t="n"/>
      <c r="T141" s="72" t="n"/>
      <c r="U141" s="72" t="n"/>
      <c r="V141" s="72" t="n"/>
      <c r="W141" s="235" t="n"/>
      <c r="X141" s="72" t="n"/>
      <c r="Y141" s="190" t="n"/>
      <c r="Z141" s="190" t="n"/>
      <c r="AA141" s="190" t="n"/>
      <c r="AB141" s="190" t="n"/>
      <c r="AC141" s="190" t="n"/>
      <c r="AD141" s="236" t="n"/>
      <c r="AE141" s="190" t="n"/>
    </row>
    <row r="142" s="186">
      <c r="A142" s="43" t="n">
        <v>139</v>
      </c>
      <c r="B142" s="204" t="n"/>
      <c r="C142" s="53" t="inlineStr">
        <is>
          <t>测井</t>
        </is>
      </c>
      <c r="D142" s="43" t="inlineStr">
        <is>
          <t>孔内摄影</t>
        </is>
      </c>
      <c r="E142" s="196" t="n"/>
      <c r="F142" s="43" t="n"/>
      <c r="G142" s="212" t="inlineStr">
        <is>
          <t>m</t>
        </is>
      </c>
      <c r="H142" s="212" t="n"/>
      <c r="I142" s="217" t="n">
        <v>45</v>
      </c>
      <c r="J142" s="234" t="n"/>
      <c r="K142" s="234">
        <f>I142*H142*J142</f>
        <v/>
      </c>
      <c r="L142" s="43" t="inlineStr">
        <is>
          <t>物探</t>
        </is>
      </c>
      <c r="M142" s="216">
        <f>VLOOKUP(L142,{"甲级","1.2";"乙级","1";"丙级","0.8";"物探","0.22"},2,0)</f>
        <v/>
      </c>
      <c r="N142" s="234">
        <f>K142*M142</f>
        <v/>
      </c>
      <c r="O142" s="234">
        <f>K142+N142</f>
        <v/>
      </c>
      <c r="P142" s="241" t="inlineStr">
        <is>
          <t xml:space="preserve"> 表7.2-1</t>
        </is>
      </c>
      <c r="Q142" s="76" t="n"/>
      <c r="R142" s="77" t="n"/>
      <c r="S142" s="72" t="n"/>
      <c r="T142" s="72" t="n"/>
      <c r="U142" s="72" t="n"/>
      <c r="V142" s="72" t="n"/>
      <c r="W142" s="235" t="n"/>
      <c r="X142" s="72" t="n"/>
      <c r="Y142" s="190" t="n"/>
      <c r="Z142" s="190" t="n"/>
      <c r="AA142" s="190" t="n"/>
      <c r="AB142" s="190" t="n"/>
      <c r="AC142" s="190" t="n"/>
      <c r="AD142" s="236" t="n"/>
      <c r="AE142" s="190" t="n"/>
    </row>
    <row r="143" s="186">
      <c r="A143" s="47" t="n">
        <v>140</v>
      </c>
      <c r="B143" s="204" t="n"/>
      <c r="C143" s="197" t="n"/>
      <c r="D143" s="43" t="inlineStr">
        <is>
          <t>电测井</t>
        </is>
      </c>
      <c r="E143" s="196" t="n"/>
      <c r="F143" s="43" t="n"/>
      <c r="G143" s="212" t="inlineStr">
        <is>
          <t>m</t>
        </is>
      </c>
      <c r="H143" s="212" t="n"/>
      <c r="I143" s="217" t="n">
        <v>23</v>
      </c>
      <c r="J143" s="234" t="n"/>
      <c r="K143" s="234">
        <f>I143*H143*J143</f>
        <v/>
      </c>
      <c r="L143" s="43" t="inlineStr">
        <is>
          <t>物探</t>
        </is>
      </c>
      <c r="M143" s="216">
        <f>VLOOKUP(L143,{"甲级","1.2";"乙级","1";"丙级","0.8";"物探","0.22"},2,0)</f>
        <v/>
      </c>
      <c r="N143" s="234">
        <f>K143*M143</f>
        <v/>
      </c>
      <c r="O143" s="234">
        <f>K143+N143</f>
        <v/>
      </c>
      <c r="P143" s="241" t="inlineStr">
        <is>
          <t xml:space="preserve"> 表7.2-1</t>
        </is>
      </c>
      <c r="Q143" s="76" t="n"/>
      <c r="R143" s="77" t="n"/>
      <c r="S143" s="72" t="n"/>
      <c r="T143" s="72" t="n"/>
      <c r="U143" s="72" t="n"/>
      <c r="V143" s="72" t="n"/>
      <c r="W143" s="235" t="n"/>
      <c r="X143" s="72" t="n"/>
      <c r="Y143" s="190" t="n"/>
      <c r="Z143" s="190" t="n"/>
      <c r="AA143" s="190" t="n"/>
      <c r="AB143" s="190" t="n"/>
      <c r="AC143" s="190" t="n"/>
      <c r="AD143" s="236" t="n"/>
      <c r="AE143" s="190" t="n"/>
    </row>
    <row r="144" s="186">
      <c r="A144" s="43" t="n">
        <v>141</v>
      </c>
      <c r="B144" s="204" t="n"/>
      <c r="C144" s="94" t="inlineStr">
        <is>
          <t>电阻率测试</t>
        </is>
      </c>
      <c r="D144" s="43" t="inlineStr">
        <is>
          <t>电测深</t>
        </is>
      </c>
      <c r="E144" s="196" t="n"/>
      <c r="F144" s="43" t="n"/>
      <c r="G144" s="212" t="inlineStr">
        <is>
          <t>点</t>
        </is>
      </c>
      <c r="H144" s="212" t="n"/>
      <c r="I144" s="217" t="n">
        <v>260</v>
      </c>
      <c r="J144" s="234" t="n"/>
      <c r="K144" s="234">
        <f>I144*H144*J144</f>
        <v/>
      </c>
      <c r="L144" s="43" t="inlineStr">
        <is>
          <t>物探</t>
        </is>
      </c>
      <c r="M144" s="216">
        <f>VLOOKUP(L144,{"甲级","1.2";"乙级","1";"丙级","0.8";"物探","0.22"},2,0)</f>
        <v/>
      </c>
      <c r="N144" s="234">
        <f>K144*M144</f>
        <v/>
      </c>
      <c r="O144" s="234">
        <f>K144+N144</f>
        <v/>
      </c>
      <c r="P144" s="241" t="inlineStr">
        <is>
          <t xml:space="preserve"> 表7.2-1</t>
        </is>
      </c>
      <c r="Q144" s="76" t="n"/>
      <c r="R144" s="77" t="n"/>
      <c r="S144" s="72" t="n"/>
      <c r="T144" s="72" t="n"/>
      <c r="U144" s="72" t="n"/>
      <c r="V144" s="72" t="n"/>
      <c r="W144" s="235" t="n"/>
      <c r="X144" s="72" t="n"/>
      <c r="Y144" s="190" t="n"/>
      <c r="Z144" s="190" t="n"/>
      <c r="AA144" s="190" t="n"/>
      <c r="AB144" s="190" t="n"/>
      <c r="AC144" s="190" t="n"/>
      <c r="AD144" s="236" t="n"/>
      <c r="AE144" s="190" t="n"/>
    </row>
    <row r="145" s="186">
      <c r="A145" s="47" t="n">
        <v>142</v>
      </c>
      <c r="B145" s="204" t="n"/>
      <c r="C145" s="43" t="inlineStr">
        <is>
          <t>钻孔波速测试</t>
        </is>
      </c>
      <c r="D145" s="53" t="inlineStr">
        <is>
          <t>深度D(m)</t>
        </is>
      </c>
      <c r="E145" s="96" t="inlineStr">
        <is>
          <t>D≤15</t>
        </is>
      </c>
      <c r="F145" s="43" t="inlineStr">
        <is>
          <t>单孔</t>
        </is>
      </c>
      <c r="G145" s="212" t="inlineStr">
        <is>
          <t>m</t>
        </is>
      </c>
      <c r="H145" s="97" t="n"/>
      <c r="I145" s="233" t="n">
        <v>135</v>
      </c>
      <c r="J145" s="234" t="n"/>
      <c r="K145" s="234">
        <f>I145*H145*J145</f>
        <v/>
      </c>
      <c r="L145" s="43" t="inlineStr">
        <is>
          <t>物探</t>
        </is>
      </c>
      <c r="M145" s="216">
        <f>VLOOKUP(L145,{"甲级","1.2";"乙级","1";"丙级","0.8";"物探","0.22"},2,0)</f>
        <v/>
      </c>
      <c r="N145" s="234">
        <f>K145*M145</f>
        <v/>
      </c>
      <c r="O145" s="234">
        <f>K145+N145</f>
        <v/>
      </c>
      <c r="P145" s="241" t="inlineStr">
        <is>
          <t xml:space="preserve"> 表7.2-1</t>
        </is>
      </c>
      <c r="Q145" s="76" t="n"/>
      <c r="R145" s="77" t="n"/>
      <c r="S145" s="72" t="n"/>
      <c r="T145" s="72" t="n"/>
      <c r="U145" s="72" t="n"/>
      <c r="V145" s="72" t="n"/>
      <c r="W145" s="235" t="n"/>
      <c r="X145" s="72" t="n"/>
      <c r="Y145" s="190" t="n"/>
      <c r="Z145" s="190" t="n"/>
      <c r="AA145" s="190" t="n"/>
      <c r="AB145" s="190" t="n"/>
      <c r="AC145" s="190" t="n"/>
      <c r="AD145" s="236" t="n"/>
      <c r="AE145" s="190" t="n"/>
    </row>
    <row r="146" s="186">
      <c r="A146" s="43" t="n">
        <v>143</v>
      </c>
      <c r="B146" s="204" t="n"/>
      <c r="C146" s="204" t="n"/>
      <c r="D146" s="204" t="n"/>
      <c r="E146" s="96" t="inlineStr">
        <is>
          <t>15＜D≤30</t>
        </is>
      </c>
      <c r="F146" s="43" t="inlineStr">
        <is>
          <t>单孔</t>
        </is>
      </c>
      <c r="G146" s="212" t="inlineStr">
        <is>
          <t>m</t>
        </is>
      </c>
      <c r="H146" s="97" t="n"/>
      <c r="I146" s="233" t="n">
        <v>162</v>
      </c>
      <c r="J146" s="234" t="n"/>
      <c r="K146" s="234">
        <f>I146*H146*J146</f>
        <v/>
      </c>
      <c r="L146" s="43" t="inlineStr">
        <is>
          <t>物探</t>
        </is>
      </c>
      <c r="M146" s="216">
        <f>VLOOKUP(L146,{"甲级","1.2";"乙级","1";"丙级","0.8";"物探","0.22"},2,0)</f>
        <v/>
      </c>
      <c r="N146" s="234">
        <f>K146*M146</f>
        <v/>
      </c>
      <c r="O146" s="234">
        <f>K146+N146</f>
        <v/>
      </c>
      <c r="P146" s="241" t="inlineStr">
        <is>
          <t xml:space="preserve"> 表7.2-1</t>
        </is>
      </c>
      <c r="Q146" s="76" t="n"/>
      <c r="R146" s="77" t="n"/>
      <c r="S146" s="72" t="n"/>
      <c r="T146" s="72" t="n"/>
      <c r="U146" s="72" t="n"/>
      <c r="V146" s="72" t="n"/>
      <c r="W146" s="235" t="n"/>
      <c r="X146" s="72" t="n"/>
      <c r="Y146" s="190" t="n"/>
      <c r="Z146" s="190" t="n"/>
      <c r="AA146" s="190" t="n"/>
      <c r="AB146" s="190" t="n"/>
      <c r="AC146" s="190" t="n"/>
      <c r="AD146" s="236" t="n"/>
      <c r="AE146" s="190" t="n"/>
    </row>
    <row r="147" s="186">
      <c r="A147" s="47" t="n">
        <v>144</v>
      </c>
      <c r="B147" s="204" t="n"/>
      <c r="C147" s="204" t="n"/>
      <c r="D147" s="204" t="n"/>
      <c r="E147" s="96" t="inlineStr">
        <is>
          <t>30＜D≤50</t>
        </is>
      </c>
      <c r="F147" s="43" t="inlineStr">
        <is>
          <t>单孔</t>
        </is>
      </c>
      <c r="G147" s="212" t="inlineStr">
        <is>
          <t>m</t>
        </is>
      </c>
      <c r="H147" s="97" t="n"/>
      <c r="I147" s="233" t="n">
        <v>216</v>
      </c>
      <c r="J147" s="234" t="n"/>
      <c r="K147" s="234">
        <f>I147*H147*J147</f>
        <v/>
      </c>
      <c r="L147" s="43" t="inlineStr">
        <is>
          <t>物探</t>
        </is>
      </c>
      <c r="M147" s="216">
        <f>VLOOKUP(L147,{"甲级","1.2";"乙级","1";"丙级","0.8";"物探","0.22"},2,0)</f>
        <v/>
      </c>
      <c r="N147" s="234">
        <f>K147*M147</f>
        <v/>
      </c>
      <c r="O147" s="234">
        <f>K147+N147</f>
        <v/>
      </c>
      <c r="P147" s="241" t="inlineStr">
        <is>
          <t xml:space="preserve"> 表7.2-2</t>
        </is>
      </c>
      <c r="Q147" s="76" t="n"/>
      <c r="R147" s="77" t="n"/>
      <c r="S147" s="72" t="n"/>
      <c r="T147" s="72" t="n"/>
      <c r="U147" s="72" t="n"/>
      <c r="V147" s="72" t="n"/>
      <c r="W147" s="235" t="n"/>
      <c r="X147" s="72" t="n"/>
      <c r="Y147" s="190" t="n"/>
      <c r="Z147" s="190" t="n"/>
      <c r="AA147" s="190" t="n"/>
      <c r="AB147" s="190" t="n"/>
      <c r="AC147" s="190" t="n"/>
      <c r="AD147" s="236" t="n"/>
      <c r="AE147" s="190" t="n"/>
    </row>
    <row r="148" s="186">
      <c r="A148" s="43" t="n">
        <v>145</v>
      </c>
      <c r="B148" s="204" t="n"/>
      <c r="C148" s="204" t="n"/>
      <c r="D148" s="204" t="n"/>
      <c r="E148" s="96" t="inlineStr">
        <is>
          <t>50＜D≤70</t>
        </is>
      </c>
      <c r="F148" s="43" t="inlineStr">
        <is>
          <t>单孔</t>
        </is>
      </c>
      <c r="G148" s="212" t="inlineStr">
        <is>
          <t>m</t>
        </is>
      </c>
      <c r="H148" s="97" t="n"/>
      <c r="I148" s="233">
        <f>I147*1.3</f>
        <v/>
      </c>
      <c r="J148" s="234" t="n"/>
      <c r="K148" s="234">
        <f>I148*H148*J148</f>
        <v/>
      </c>
      <c r="L148" s="43" t="inlineStr">
        <is>
          <t>物探</t>
        </is>
      </c>
      <c r="M148" s="216">
        <f>VLOOKUP(L148,{"甲级","1.2";"乙级","1";"丙级","0.8";"物探","0.22"},2,0)</f>
        <v/>
      </c>
      <c r="N148" s="234">
        <f>K148*M148</f>
        <v/>
      </c>
      <c r="O148" s="234">
        <f>K148+N148</f>
        <v/>
      </c>
      <c r="P148" s="241" t="inlineStr">
        <is>
          <t xml:space="preserve"> 表7.2-1</t>
        </is>
      </c>
      <c r="Q148" s="76" t="n"/>
      <c r="R148" s="77" t="n"/>
      <c r="S148" s="72" t="n"/>
      <c r="T148" s="72" t="n"/>
      <c r="U148" s="72" t="n"/>
      <c r="V148" s="72" t="n"/>
      <c r="W148" s="235" t="n"/>
      <c r="X148" s="72" t="n"/>
      <c r="Y148" s="190" t="n"/>
      <c r="Z148" s="190" t="n"/>
      <c r="AA148" s="190" t="n"/>
      <c r="AB148" s="190" t="n"/>
      <c r="AC148" s="190" t="n"/>
      <c r="AD148" s="236" t="n"/>
      <c r="AE148" s="190" t="n"/>
    </row>
    <row r="149" s="186">
      <c r="A149" s="47" t="n">
        <v>146</v>
      </c>
      <c r="B149" s="204" t="n"/>
      <c r="C149" s="204" t="n"/>
      <c r="D149" s="204" t="n"/>
      <c r="E149" s="96" t="inlineStr">
        <is>
          <t>70＜D≤90</t>
        </is>
      </c>
      <c r="F149" s="43" t="inlineStr">
        <is>
          <t>单孔</t>
        </is>
      </c>
      <c r="G149" s="212" t="inlineStr">
        <is>
          <t>m</t>
        </is>
      </c>
      <c r="H149" s="97" t="n"/>
      <c r="I149" s="233">
        <f>I148*1.3</f>
        <v/>
      </c>
      <c r="J149" s="234" t="n"/>
      <c r="K149" s="234">
        <f>I149*H149*J149</f>
        <v/>
      </c>
      <c r="L149" s="43" t="inlineStr">
        <is>
          <t>物探</t>
        </is>
      </c>
      <c r="M149" s="216">
        <f>VLOOKUP(L149,{"甲级","1.2";"乙级","1";"丙级","0.8";"物探","0.22"},2,0)</f>
        <v/>
      </c>
      <c r="N149" s="234">
        <f>K149*M149</f>
        <v/>
      </c>
      <c r="O149" s="234">
        <f>K149+N149</f>
        <v/>
      </c>
      <c r="P149" s="241" t="inlineStr">
        <is>
          <t xml:space="preserve"> 表7.2-1</t>
        </is>
      </c>
      <c r="Q149" s="76" t="n"/>
      <c r="R149" s="77" t="n"/>
      <c r="S149" s="72" t="n"/>
      <c r="T149" s="72" t="n"/>
      <c r="U149" s="72" t="n"/>
      <c r="V149" s="72" t="n"/>
      <c r="W149" s="235" t="n"/>
      <c r="X149" s="72" t="n"/>
      <c r="Y149" s="190" t="n"/>
      <c r="Z149" s="190" t="n"/>
      <c r="AA149" s="190" t="n"/>
      <c r="AB149" s="190" t="n"/>
      <c r="AC149" s="190" t="n"/>
      <c r="AD149" s="236" t="n"/>
      <c r="AE149" s="190" t="n"/>
    </row>
    <row r="150" s="186">
      <c r="A150" s="43" t="n">
        <v>147</v>
      </c>
      <c r="B150" s="204" t="n"/>
      <c r="C150" s="204" t="n"/>
      <c r="D150" s="204" t="n"/>
      <c r="E150" s="96" t="inlineStr">
        <is>
          <t>90＜D≤110</t>
        </is>
      </c>
      <c r="F150" s="43" t="inlineStr">
        <is>
          <t>单孔</t>
        </is>
      </c>
      <c r="G150" s="212" t="inlineStr">
        <is>
          <t>m</t>
        </is>
      </c>
      <c r="H150" s="97" t="n"/>
      <c r="I150" s="233">
        <f>I149*1.3</f>
        <v/>
      </c>
      <c r="J150" s="234" t="n"/>
      <c r="K150" s="234">
        <f>I150*H150*J150</f>
        <v/>
      </c>
      <c r="L150" s="43" t="inlineStr">
        <is>
          <t>物探</t>
        </is>
      </c>
      <c r="M150" s="216">
        <f>VLOOKUP(L150,{"甲级","1.2";"乙级","1";"丙级","0.8";"物探","0.22"},2,0)</f>
        <v/>
      </c>
      <c r="N150" s="234">
        <f>K150*M150</f>
        <v/>
      </c>
      <c r="O150" s="234">
        <f>K150+N150</f>
        <v/>
      </c>
      <c r="P150" s="241" t="inlineStr">
        <is>
          <t xml:space="preserve"> 表7.2-1</t>
        </is>
      </c>
      <c r="Q150" s="76" t="n"/>
      <c r="R150" s="77" t="n"/>
      <c r="S150" s="72" t="n"/>
      <c r="T150" s="72" t="n"/>
      <c r="U150" s="72" t="n"/>
      <c r="V150" s="72" t="n"/>
      <c r="W150" s="235" t="n"/>
      <c r="X150" s="72" t="n"/>
      <c r="Y150" s="190" t="n"/>
      <c r="Z150" s="190" t="n"/>
      <c r="AA150" s="190" t="n"/>
      <c r="AB150" s="190" t="n"/>
      <c r="AC150" s="190" t="n"/>
      <c r="AD150" s="236" t="n"/>
      <c r="AE150" s="190" t="n"/>
    </row>
    <row r="151" s="186">
      <c r="A151" s="47" t="n">
        <v>148</v>
      </c>
      <c r="B151" s="204" t="n"/>
      <c r="C151" s="204" t="n"/>
      <c r="D151" s="204" t="n"/>
      <c r="E151" s="96" t="inlineStr">
        <is>
          <t>110＜D≤130</t>
        </is>
      </c>
      <c r="F151" s="43" t="inlineStr">
        <is>
          <t>单孔</t>
        </is>
      </c>
      <c r="G151" s="212" t="inlineStr">
        <is>
          <t>m</t>
        </is>
      </c>
      <c r="H151" s="97" t="n"/>
      <c r="I151" s="233">
        <f>I150*1.3</f>
        <v/>
      </c>
      <c r="J151" s="234" t="n"/>
      <c r="K151" s="234">
        <f>I151*H151*J151</f>
        <v/>
      </c>
      <c r="L151" s="43" t="inlineStr">
        <is>
          <t>物探</t>
        </is>
      </c>
      <c r="M151" s="216">
        <f>VLOOKUP(L151,{"甲级","1.2";"乙级","1";"丙级","0.8";"物探","0.22"},2,0)</f>
        <v/>
      </c>
      <c r="N151" s="234">
        <f>K151*M151</f>
        <v/>
      </c>
      <c r="O151" s="234">
        <f>K151+N151</f>
        <v/>
      </c>
      <c r="P151" s="241" t="inlineStr">
        <is>
          <t xml:space="preserve"> 表7.2-1</t>
        </is>
      </c>
      <c r="Q151" s="76" t="n"/>
      <c r="R151" s="77" t="n"/>
      <c r="S151" s="72" t="n"/>
      <c r="T151" s="72" t="n"/>
      <c r="U151" s="72" t="n"/>
      <c r="V151" s="72" t="n"/>
      <c r="W151" s="235" t="n"/>
      <c r="X151" s="72" t="n"/>
      <c r="Y151" s="190" t="n"/>
      <c r="Z151" s="190" t="n"/>
      <c r="AA151" s="190" t="n"/>
      <c r="AB151" s="190" t="n"/>
      <c r="AC151" s="190" t="n"/>
      <c r="AD151" s="236" t="n"/>
      <c r="AE151" s="190" t="n"/>
    </row>
    <row r="152" s="186">
      <c r="A152" s="43" t="n">
        <v>149</v>
      </c>
      <c r="B152" s="204" t="n"/>
      <c r="C152" s="204" t="n"/>
      <c r="D152" s="204" t="n"/>
      <c r="E152" s="96" t="inlineStr">
        <is>
          <t>130＜D≤150</t>
        </is>
      </c>
      <c r="F152" s="43" t="inlineStr">
        <is>
          <t>单孔</t>
        </is>
      </c>
      <c r="G152" s="212" t="inlineStr">
        <is>
          <t>m</t>
        </is>
      </c>
      <c r="H152" s="97" t="n"/>
      <c r="I152" s="233">
        <f>I151*1.3</f>
        <v/>
      </c>
      <c r="J152" s="234" t="n"/>
      <c r="K152" s="234">
        <f>I152*H152*J152</f>
        <v/>
      </c>
      <c r="L152" s="43" t="inlineStr">
        <is>
          <t>物探</t>
        </is>
      </c>
      <c r="M152" s="216">
        <f>VLOOKUP(L152,{"甲级","1.2";"乙级","1";"丙级","0.8";"物探","0.22"},2,0)</f>
        <v/>
      </c>
      <c r="N152" s="234">
        <f>K152*M152</f>
        <v/>
      </c>
      <c r="O152" s="234">
        <f>K152+N152</f>
        <v/>
      </c>
      <c r="P152" s="241" t="inlineStr">
        <is>
          <t xml:space="preserve"> 表7.2-1</t>
        </is>
      </c>
      <c r="Q152" s="76" t="n"/>
      <c r="R152" s="77" t="n"/>
      <c r="S152" s="72" t="n"/>
      <c r="T152" s="72" t="n"/>
      <c r="U152" s="72" t="n"/>
      <c r="V152" s="72" t="n"/>
      <c r="W152" s="235" t="n"/>
      <c r="X152" s="72" t="n"/>
      <c r="Y152" s="190" t="n"/>
      <c r="Z152" s="190" t="n"/>
      <c r="AA152" s="190" t="n"/>
      <c r="AB152" s="190" t="n"/>
      <c r="AC152" s="190" t="n"/>
      <c r="AD152" s="236" t="n"/>
      <c r="AE152" s="190" t="n"/>
    </row>
    <row r="153" s="186">
      <c r="A153" s="47" t="n">
        <v>150</v>
      </c>
      <c r="B153" s="204" t="n"/>
      <c r="C153" s="204" t="n"/>
      <c r="D153" s="204" t="n"/>
      <c r="E153" s="96" t="inlineStr">
        <is>
          <t>150＜D≤170</t>
        </is>
      </c>
      <c r="F153" s="43" t="inlineStr">
        <is>
          <t>单孔</t>
        </is>
      </c>
      <c r="G153" s="212" t="inlineStr">
        <is>
          <t>m</t>
        </is>
      </c>
      <c r="H153" s="97" t="n"/>
      <c r="I153" s="233">
        <f>I152*1.3</f>
        <v/>
      </c>
      <c r="J153" s="234" t="n"/>
      <c r="K153" s="234">
        <f>I153*H153*J153</f>
        <v/>
      </c>
      <c r="L153" s="43" t="inlineStr">
        <is>
          <t>物探</t>
        </is>
      </c>
      <c r="M153" s="216">
        <f>VLOOKUP(L153,{"甲级","1.2";"乙级","1";"丙级","0.8";"物探","0.22"},2,0)</f>
        <v/>
      </c>
      <c r="N153" s="234">
        <f>K153*M153</f>
        <v/>
      </c>
      <c r="O153" s="234">
        <f>K153+N153</f>
        <v/>
      </c>
      <c r="P153" s="241" t="inlineStr">
        <is>
          <t xml:space="preserve"> 表7.2-1</t>
        </is>
      </c>
      <c r="Q153" s="76" t="n"/>
      <c r="R153" s="77" t="n"/>
      <c r="S153" s="72" t="n"/>
      <c r="T153" s="72" t="n"/>
      <c r="U153" s="72" t="n"/>
      <c r="V153" s="72" t="n"/>
      <c r="W153" s="235" t="n"/>
      <c r="X153" s="72" t="n"/>
      <c r="Y153" s="190" t="n"/>
      <c r="Z153" s="190" t="n"/>
      <c r="AA153" s="190" t="n"/>
      <c r="AB153" s="190" t="n"/>
      <c r="AC153" s="190" t="n"/>
      <c r="AD153" s="236" t="n"/>
      <c r="AE153" s="190" t="n"/>
    </row>
    <row r="154" s="186">
      <c r="A154" s="43" t="n">
        <v>151</v>
      </c>
      <c r="B154" s="204" t="n"/>
      <c r="C154" s="204" t="n"/>
      <c r="D154" s="204" t="n"/>
      <c r="E154" s="96" t="inlineStr">
        <is>
          <t>170＜D≤190</t>
        </is>
      </c>
      <c r="F154" s="43" t="inlineStr">
        <is>
          <t>单孔</t>
        </is>
      </c>
      <c r="G154" s="212" t="inlineStr">
        <is>
          <t>m</t>
        </is>
      </c>
      <c r="H154" s="97" t="n"/>
      <c r="I154" s="233">
        <f>I153*1.3</f>
        <v/>
      </c>
      <c r="J154" s="234" t="n"/>
      <c r="K154" s="234">
        <f>I154*H154*J154</f>
        <v/>
      </c>
      <c r="L154" s="43" t="inlineStr">
        <is>
          <t>物探</t>
        </is>
      </c>
      <c r="M154" s="216">
        <f>VLOOKUP(L154,{"甲级","1.2";"乙级","1";"丙级","0.8";"物探","0.22"},2,0)</f>
        <v/>
      </c>
      <c r="N154" s="234">
        <f>K154*M154</f>
        <v/>
      </c>
      <c r="O154" s="234">
        <f>K154+N154</f>
        <v/>
      </c>
      <c r="P154" s="241" t="inlineStr">
        <is>
          <t xml:space="preserve"> 表7.2-1</t>
        </is>
      </c>
      <c r="Q154" s="76" t="n"/>
      <c r="R154" s="77" t="n"/>
      <c r="S154" s="72" t="n"/>
      <c r="T154" s="72" t="n"/>
      <c r="U154" s="72" t="n"/>
      <c r="V154" s="72" t="n"/>
      <c r="W154" s="235" t="n"/>
      <c r="X154" s="72" t="n"/>
      <c r="Y154" s="190" t="n"/>
      <c r="Z154" s="190" t="n"/>
      <c r="AA154" s="190" t="n"/>
      <c r="AB154" s="190" t="n"/>
      <c r="AC154" s="190" t="n"/>
      <c r="AD154" s="236" t="n"/>
      <c r="AE154" s="190" t="n"/>
    </row>
    <row r="155" s="186">
      <c r="A155" s="47" t="n">
        <v>152</v>
      </c>
      <c r="B155" s="204" t="n"/>
      <c r="C155" s="204" t="n"/>
      <c r="D155" s="204" t="n"/>
      <c r="E155" s="96" t="inlineStr">
        <is>
          <t>190＜D≤210</t>
        </is>
      </c>
      <c r="F155" s="43" t="inlineStr">
        <is>
          <t>单孔</t>
        </is>
      </c>
      <c r="G155" s="212" t="inlineStr">
        <is>
          <t>m</t>
        </is>
      </c>
      <c r="H155" s="97" t="n"/>
      <c r="I155" s="233">
        <f>I154*1.3</f>
        <v/>
      </c>
      <c r="J155" s="234" t="n"/>
      <c r="K155" s="234">
        <f>I155*H155*J155</f>
        <v/>
      </c>
      <c r="L155" s="43" t="inlineStr">
        <is>
          <t>物探</t>
        </is>
      </c>
      <c r="M155" s="216">
        <f>VLOOKUP(L155,{"甲级","1.2";"乙级","1";"丙级","0.8";"物探","0.22"},2,0)</f>
        <v/>
      </c>
      <c r="N155" s="234">
        <f>K155*M155</f>
        <v/>
      </c>
      <c r="O155" s="234">
        <f>K155+N155</f>
        <v/>
      </c>
      <c r="P155" s="241" t="inlineStr">
        <is>
          <t xml:space="preserve"> 表7.2-1</t>
        </is>
      </c>
      <c r="Q155" s="76" t="n"/>
      <c r="R155" s="77" t="n"/>
      <c r="S155" s="72" t="n"/>
      <c r="T155" s="72" t="n"/>
      <c r="U155" s="72" t="n"/>
      <c r="V155" s="72" t="n"/>
      <c r="W155" s="235" t="n"/>
      <c r="X155" s="72" t="n"/>
      <c r="Y155" s="190" t="n"/>
      <c r="Z155" s="190" t="n"/>
      <c r="AA155" s="190" t="n"/>
      <c r="AB155" s="190" t="n"/>
      <c r="AC155" s="190" t="n"/>
      <c r="AD155" s="236" t="n"/>
      <c r="AE155" s="190" t="n"/>
    </row>
    <row r="156" s="186">
      <c r="A156" s="43" t="n">
        <v>153</v>
      </c>
      <c r="B156" s="204" t="n"/>
      <c r="C156" s="204" t="n"/>
      <c r="D156" s="204" t="n"/>
      <c r="E156" s="96" t="inlineStr">
        <is>
          <t>210＜D≤230</t>
        </is>
      </c>
      <c r="F156" s="43" t="inlineStr">
        <is>
          <t>单孔</t>
        </is>
      </c>
      <c r="G156" s="212" t="inlineStr">
        <is>
          <t>m</t>
        </is>
      </c>
      <c r="H156" s="212" t="n"/>
      <c r="I156" s="233">
        <f>I155*1.3</f>
        <v/>
      </c>
      <c r="J156" s="234" t="n"/>
      <c r="K156" s="234">
        <f>I156*H156*J156</f>
        <v/>
      </c>
      <c r="L156" s="43" t="inlineStr">
        <is>
          <t>物探</t>
        </is>
      </c>
      <c r="M156" s="216">
        <f>VLOOKUP(L156,{"甲级","1.2";"乙级","1";"丙级","0.8";"物探","0.22"},2,0)</f>
        <v/>
      </c>
      <c r="N156" s="234">
        <f>K156*M156</f>
        <v/>
      </c>
      <c r="O156" s="234">
        <f>K156+N156</f>
        <v/>
      </c>
      <c r="P156" s="241" t="inlineStr">
        <is>
          <t xml:space="preserve"> 表7.2-1</t>
        </is>
      </c>
      <c r="Q156" s="76" t="n"/>
      <c r="R156" s="77" t="n"/>
      <c r="S156" s="72" t="n"/>
      <c r="T156" s="72" t="n"/>
      <c r="U156" s="72" t="n"/>
      <c r="V156" s="72" t="n"/>
      <c r="W156" s="235" t="n"/>
      <c r="X156" s="72" t="n"/>
      <c r="Y156" s="190" t="n"/>
      <c r="Z156" s="190" t="n"/>
      <c r="AA156" s="190" t="n"/>
      <c r="AB156" s="190" t="n"/>
      <c r="AC156" s="190" t="n"/>
      <c r="AD156" s="236" t="n"/>
      <c r="AE156" s="190" t="n"/>
    </row>
    <row r="157" s="186">
      <c r="A157" s="47" t="n">
        <v>154</v>
      </c>
      <c r="B157" s="204" t="n"/>
      <c r="C157" s="204" t="n"/>
      <c r="D157" s="204" t="n"/>
      <c r="E157" s="96" t="inlineStr">
        <is>
          <t>230＜D≤250</t>
        </is>
      </c>
      <c r="F157" s="43" t="inlineStr">
        <is>
          <t>单孔</t>
        </is>
      </c>
      <c r="G157" s="212" t="inlineStr">
        <is>
          <t>m</t>
        </is>
      </c>
      <c r="H157" s="212" t="n"/>
      <c r="I157" s="233">
        <f>I156*1.3</f>
        <v/>
      </c>
      <c r="J157" s="234" t="n"/>
      <c r="K157" s="234">
        <f>I157*H157*J157</f>
        <v/>
      </c>
      <c r="L157" s="43" t="inlineStr">
        <is>
          <t>物探</t>
        </is>
      </c>
      <c r="M157" s="216">
        <f>VLOOKUP(L157,{"甲级","1.2";"乙级","1";"丙级","0.8";"物探","0.22"},2,0)</f>
        <v/>
      </c>
      <c r="N157" s="234">
        <f>K157*M157</f>
        <v/>
      </c>
      <c r="O157" s="234">
        <f>K157+N157</f>
        <v/>
      </c>
      <c r="P157" s="241" t="inlineStr">
        <is>
          <t xml:space="preserve"> 表7.2-1</t>
        </is>
      </c>
      <c r="Q157" s="76" t="n"/>
      <c r="R157" s="77" t="n"/>
      <c r="S157" s="72" t="n"/>
      <c r="T157" s="72" t="n"/>
      <c r="U157" s="72" t="n"/>
      <c r="V157" s="72" t="n"/>
      <c r="W157" s="235" t="n"/>
      <c r="X157" s="72" t="n"/>
      <c r="Y157" s="190" t="n"/>
      <c r="Z157" s="190" t="n"/>
      <c r="AA157" s="190" t="n"/>
      <c r="AB157" s="190" t="n"/>
      <c r="AC157" s="190" t="n"/>
      <c r="AD157" s="236" t="n"/>
      <c r="AE157" s="190" t="n"/>
    </row>
    <row r="158" s="186">
      <c r="A158" s="43" t="n">
        <v>155</v>
      </c>
      <c r="B158" s="204" t="n"/>
      <c r="C158" s="204" t="n"/>
      <c r="D158" s="204" t="n"/>
      <c r="E158" s="96" t="inlineStr">
        <is>
          <t>250＜D≤270</t>
        </is>
      </c>
      <c r="F158" s="43" t="inlineStr">
        <is>
          <t>单孔</t>
        </is>
      </c>
      <c r="G158" s="212" t="inlineStr">
        <is>
          <t>m</t>
        </is>
      </c>
      <c r="H158" s="212" t="n"/>
      <c r="I158" s="233">
        <f>I157*1.3</f>
        <v/>
      </c>
      <c r="J158" s="234" t="n"/>
      <c r="K158" s="234">
        <f>I158*H158*J158</f>
        <v/>
      </c>
      <c r="L158" s="43" t="inlineStr">
        <is>
          <t>物探</t>
        </is>
      </c>
      <c r="M158" s="216">
        <f>VLOOKUP(L158,{"甲级","1.2";"乙级","1";"丙级","0.8";"物探","0.22"},2,0)</f>
        <v/>
      </c>
      <c r="N158" s="234">
        <f>K158*M158</f>
        <v/>
      </c>
      <c r="O158" s="234">
        <f>K158+N158</f>
        <v/>
      </c>
      <c r="P158" s="241" t="inlineStr">
        <is>
          <t xml:space="preserve"> 表7.2-1</t>
        </is>
      </c>
      <c r="Q158" s="76" t="n"/>
      <c r="R158" s="77" t="n"/>
      <c r="S158" s="72" t="n"/>
      <c r="T158" s="72" t="n"/>
      <c r="U158" s="72" t="n"/>
      <c r="V158" s="72" t="n"/>
      <c r="W158" s="235" t="n"/>
      <c r="X158" s="72" t="n"/>
      <c r="Y158" s="190" t="n"/>
      <c r="Z158" s="190" t="n"/>
      <c r="AA158" s="190" t="n"/>
      <c r="AB158" s="190" t="n"/>
      <c r="AC158" s="190" t="n"/>
      <c r="AD158" s="236" t="n"/>
      <c r="AE158" s="190" t="n"/>
    </row>
    <row r="159" s="186">
      <c r="A159" s="47" t="n">
        <v>156</v>
      </c>
      <c r="B159" s="204" t="n"/>
      <c r="C159" s="204" t="n"/>
      <c r="D159" s="204" t="n"/>
      <c r="E159" s="96" t="inlineStr">
        <is>
          <t>270＜D≤290</t>
        </is>
      </c>
      <c r="F159" s="43" t="inlineStr">
        <is>
          <t>单孔</t>
        </is>
      </c>
      <c r="G159" s="212" t="inlineStr">
        <is>
          <t>m</t>
        </is>
      </c>
      <c r="H159" s="212" t="n"/>
      <c r="I159" s="233">
        <f>I158*1.3</f>
        <v/>
      </c>
      <c r="J159" s="234" t="n"/>
      <c r="K159" s="234">
        <f>I159*H159*J159</f>
        <v/>
      </c>
      <c r="L159" s="43" t="inlineStr">
        <is>
          <t>物探</t>
        </is>
      </c>
      <c r="M159" s="216">
        <f>VLOOKUP(L159,{"甲级","1.2";"乙级","1";"丙级","0.8";"物探","0.22"},2,0)</f>
        <v/>
      </c>
      <c r="N159" s="234">
        <f>K159*M159</f>
        <v/>
      </c>
      <c r="O159" s="234">
        <f>K159+N159</f>
        <v/>
      </c>
      <c r="P159" s="241" t="inlineStr">
        <is>
          <t xml:space="preserve"> 表7.2-1</t>
        </is>
      </c>
      <c r="Q159" s="76" t="n"/>
      <c r="R159" s="77" t="n"/>
      <c r="S159" s="72" t="n"/>
      <c r="T159" s="72" t="n"/>
      <c r="U159" s="72" t="n"/>
      <c r="V159" s="72" t="n"/>
      <c r="W159" s="235" t="n"/>
      <c r="X159" s="72" t="n"/>
      <c r="Y159" s="190" t="n"/>
      <c r="Z159" s="190" t="n"/>
      <c r="AA159" s="190" t="n"/>
      <c r="AB159" s="190" t="n"/>
      <c r="AC159" s="190" t="n"/>
      <c r="AD159" s="236" t="n"/>
      <c r="AE159" s="190" t="n"/>
    </row>
    <row r="160" s="186">
      <c r="A160" s="43" t="n">
        <v>157</v>
      </c>
      <c r="B160" s="204" t="n"/>
      <c r="C160" s="204" t="n"/>
      <c r="D160" s="204" t="n"/>
      <c r="E160" s="96" t="inlineStr">
        <is>
          <t>290＜D≤310</t>
        </is>
      </c>
      <c r="F160" s="43" t="inlineStr">
        <is>
          <t>单孔</t>
        </is>
      </c>
      <c r="G160" s="212" t="inlineStr">
        <is>
          <t>m</t>
        </is>
      </c>
      <c r="H160" s="212" t="n"/>
      <c r="I160" s="233">
        <f>I159*1.3</f>
        <v/>
      </c>
      <c r="J160" s="234" t="n"/>
      <c r="K160" s="234">
        <f>I160*H160*J160</f>
        <v/>
      </c>
      <c r="L160" s="43" t="inlineStr">
        <is>
          <t>物探</t>
        </is>
      </c>
      <c r="M160" s="216">
        <f>VLOOKUP(L160,{"甲级","1.2";"乙级","1";"丙级","0.8";"物探","0.22"},2,0)</f>
        <v/>
      </c>
      <c r="N160" s="234">
        <f>K160*M160</f>
        <v/>
      </c>
      <c r="O160" s="234">
        <f>K160+N160</f>
        <v/>
      </c>
      <c r="P160" s="241" t="inlineStr">
        <is>
          <t xml:space="preserve"> 表7.2-1</t>
        </is>
      </c>
      <c r="Q160" s="76" t="n"/>
      <c r="R160" s="77" t="n"/>
      <c r="S160" s="72" t="n"/>
      <c r="T160" s="72" t="n"/>
      <c r="U160" s="72" t="n"/>
      <c r="V160" s="72" t="n"/>
      <c r="W160" s="235" t="n"/>
      <c r="X160" s="72" t="n"/>
      <c r="Y160" s="190" t="n"/>
      <c r="Z160" s="190" t="n"/>
      <c r="AA160" s="190" t="n"/>
      <c r="AB160" s="190" t="n"/>
      <c r="AC160" s="190" t="n"/>
      <c r="AD160" s="236" t="n"/>
      <c r="AE160" s="190" t="n"/>
    </row>
    <row r="161" s="186">
      <c r="A161" s="47" t="n">
        <v>158</v>
      </c>
      <c r="B161" s="204" t="n"/>
      <c r="C161" s="204" t="n"/>
      <c r="D161" s="204" t="n"/>
      <c r="E161" s="96" t="inlineStr">
        <is>
          <t>310＜D≤330</t>
        </is>
      </c>
      <c r="F161" s="43" t="inlineStr">
        <is>
          <t>单孔</t>
        </is>
      </c>
      <c r="G161" s="212" t="inlineStr">
        <is>
          <t>m</t>
        </is>
      </c>
      <c r="H161" s="212" t="n"/>
      <c r="I161" s="233">
        <f>I160*1.3</f>
        <v/>
      </c>
      <c r="J161" s="234" t="n"/>
      <c r="K161" s="234">
        <f>I161*H161*J161</f>
        <v/>
      </c>
      <c r="L161" s="43" t="inlineStr">
        <is>
          <t>物探</t>
        </is>
      </c>
      <c r="M161" s="216">
        <f>VLOOKUP(L161,{"甲级","1.2";"乙级","1";"丙级","0.8";"物探","0.22"},2,0)</f>
        <v/>
      </c>
      <c r="N161" s="234">
        <f>K161*M161</f>
        <v/>
      </c>
      <c r="O161" s="234">
        <f>K161+N161</f>
        <v/>
      </c>
      <c r="P161" s="241" t="inlineStr">
        <is>
          <t xml:space="preserve"> 表7.2-1</t>
        </is>
      </c>
      <c r="Q161" s="76" t="n"/>
      <c r="R161" s="77" t="n"/>
      <c r="S161" s="72" t="n"/>
      <c r="T161" s="72" t="n"/>
      <c r="U161" s="72" t="n"/>
      <c r="V161" s="72" t="n"/>
      <c r="W161" s="235" t="n"/>
      <c r="X161" s="72" t="n"/>
      <c r="Y161" s="190" t="n"/>
      <c r="Z161" s="190" t="n"/>
      <c r="AA161" s="190" t="n"/>
      <c r="AB161" s="190" t="n"/>
      <c r="AC161" s="190" t="n"/>
      <c r="AD161" s="236" t="n"/>
      <c r="AE161" s="190" t="n"/>
    </row>
    <row r="162" s="186">
      <c r="A162" s="43" t="n">
        <v>159</v>
      </c>
      <c r="B162" s="204" t="n"/>
      <c r="C162" s="204" t="n"/>
      <c r="D162" s="204" t="n"/>
      <c r="E162" s="96" t="inlineStr">
        <is>
          <t>330＜D≤350</t>
        </is>
      </c>
      <c r="F162" s="43" t="inlineStr">
        <is>
          <t>单孔</t>
        </is>
      </c>
      <c r="G162" s="212" t="inlineStr">
        <is>
          <t>m</t>
        </is>
      </c>
      <c r="H162" s="212" t="n"/>
      <c r="I162" s="233">
        <f>I161*1.3</f>
        <v/>
      </c>
      <c r="J162" s="234" t="n"/>
      <c r="K162" s="234">
        <f>I162*H162*J162</f>
        <v/>
      </c>
      <c r="L162" s="43" t="inlineStr">
        <is>
          <t>物探</t>
        </is>
      </c>
      <c r="M162" s="216">
        <f>VLOOKUP(L162,{"甲级","1.2";"乙级","1";"丙级","0.8";"物探","0.22"},2,0)</f>
        <v/>
      </c>
      <c r="N162" s="234">
        <f>K162*M162</f>
        <v/>
      </c>
      <c r="O162" s="234">
        <f>K162+N162</f>
        <v/>
      </c>
      <c r="P162" s="241" t="inlineStr">
        <is>
          <t xml:space="preserve"> 表7.2-1</t>
        </is>
      </c>
      <c r="Q162" s="76" t="n"/>
      <c r="R162" s="77" t="n"/>
      <c r="S162" s="72" t="n"/>
      <c r="T162" s="72" t="n"/>
      <c r="U162" s="72" t="n"/>
      <c r="V162" s="72" t="n"/>
      <c r="W162" s="235" t="n"/>
      <c r="X162" s="72" t="n"/>
      <c r="Y162" s="190" t="n"/>
      <c r="Z162" s="190" t="n"/>
      <c r="AA162" s="190" t="n"/>
      <c r="AB162" s="190" t="n"/>
      <c r="AC162" s="190" t="n"/>
      <c r="AD162" s="236" t="n"/>
      <c r="AE162" s="190" t="n"/>
    </row>
    <row r="163" s="186">
      <c r="A163" s="47" t="n">
        <v>160</v>
      </c>
      <c r="B163" s="204" t="n"/>
      <c r="C163" s="204" t="n"/>
      <c r="D163" s="204" t="n"/>
      <c r="E163" s="96" t="inlineStr">
        <is>
          <t>350＜D≤370</t>
        </is>
      </c>
      <c r="F163" s="43" t="inlineStr">
        <is>
          <t>单孔</t>
        </is>
      </c>
      <c r="G163" s="212" t="inlineStr">
        <is>
          <t>m</t>
        </is>
      </c>
      <c r="H163" s="212" t="n"/>
      <c r="I163" s="233">
        <f>I162*1.3</f>
        <v/>
      </c>
      <c r="J163" s="234" t="n"/>
      <c r="K163" s="234">
        <f>I163*H163*J163</f>
        <v/>
      </c>
      <c r="L163" s="43" t="inlineStr">
        <is>
          <t>物探</t>
        </is>
      </c>
      <c r="M163" s="216">
        <f>VLOOKUP(L163,{"甲级","1.2";"乙级","1";"丙级","0.8";"物探","0.22"},2,0)</f>
        <v/>
      </c>
      <c r="N163" s="234">
        <f>K163*M163</f>
        <v/>
      </c>
      <c r="O163" s="234">
        <f>K163+N163</f>
        <v/>
      </c>
      <c r="P163" s="241" t="inlineStr">
        <is>
          <t xml:space="preserve"> 表7.2-1</t>
        </is>
      </c>
      <c r="Q163" s="76" t="n"/>
      <c r="R163" s="77" t="n"/>
      <c r="S163" s="72" t="n"/>
      <c r="T163" s="72" t="n"/>
      <c r="U163" s="72" t="n"/>
      <c r="V163" s="72" t="n"/>
      <c r="W163" s="235" t="n"/>
      <c r="X163" s="72" t="n"/>
      <c r="Y163" s="190" t="n"/>
      <c r="Z163" s="190" t="n"/>
      <c r="AA163" s="190" t="n"/>
      <c r="AB163" s="190" t="n"/>
      <c r="AC163" s="190" t="n"/>
      <c r="AD163" s="236" t="n"/>
      <c r="AE163" s="190" t="n"/>
    </row>
    <row r="164" s="186">
      <c r="A164" s="43" t="n">
        <v>161</v>
      </c>
      <c r="B164" s="204" t="n"/>
      <c r="C164" s="204" t="n"/>
      <c r="D164" s="204" t="n"/>
      <c r="E164" s="96" t="inlineStr">
        <is>
          <t>370＜D≤390</t>
        </is>
      </c>
      <c r="F164" s="43" t="inlineStr">
        <is>
          <t>单孔</t>
        </is>
      </c>
      <c r="G164" s="212" t="inlineStr">
        <is>
          <t>m</t>
        </is>
      </c>
      <c r="H164" s="212" t="n"/>
      <c r="I164" s="233">
        <f>I163*1.3</f>
        <v/>
      </c>
      <c r="J164" s="234" t="n"/>
      <c r="K164" s="234">
        <f>I164*H164*J164</f>
        <v/>
      </c>
      <c r="L164" s="43" t="inlineStr">
        <is>
          <t>物探</t>
        </is>
      </c>
      <c r="M164" s="216">
        <f>VLOOKUP(L164,{"甲级","1.2";"乙级","1";"丙级","0.8";"物探","0.22"},2,0)</f>
        <v/>
      </c>
      <c r="N164" s="234">
        <f>K164*M164</f>
        <v/>
      </c>
      <c r="O164" s="234">
        <f>K164+N164</f>
        <v/>
      </c>
      <c r="P164" s="241" t="inlineStr">
        <is>
          <t xml:space="preserve"> 表7.2-1</t>
        </is>
      </c>
      <c r="Q164" s="76" t="n"/>
      <c r="R164" s="77" t="n"/>
      <c r="S164" s="72" t="n"/>
      <c r="T164" s="72" t="n"/>
      <c r="U164" s="72" t="n"/>
      <c r="V164" s="72" t="n"/>
      <c r="W164" s="235" t="n"/>
      <c r="X164" s="72" t="n"/>
      <c r="Y164" s="190" t="n"/>
      <c r="Z164" s="190" t="n"/>
      <c r="AA164" s="190" t="n"/>
      <c r="AB164" s="190" t="n"/>
      <c r="AC164" s="190" t="n"/>
      <c r="AD164" s="236" t="n"/>
      <c r="AE164" s="190" t="n"/>
    </row>
    <row r="165" s="186">
      <c r="A165" s="47" t="n">
        <v>162</v>
      </c>
      <c r="B165" s="204" t="n"/>
      <c r="C165" s="197" t="n"/>
      <c r="D165" s="197" t="n"/>
      <c r="E165" s="96" t="inlineStr">
        <is>
          <t>390＜D≤410</t>
        </is>
      </c>
      <c r="F165" s="43" t="inlineStr">
        <is>
          <t>单孔</t>
        </is>
      </c>
      <c r="G165" s="212" t="inlineStr">
        <is>
          <t>m</t>
        </is>
      </c>
      <c r="H165" s="212" t="n"/>
      <c r="I165" s="233">
        <f>I164*1.3</f>
        <v/>
      </c>
      <c r="J165" s="234" t="n"/>
      <c r="K165" s="234">
        <f>I165*H165*J165</f>
        <v/>
      </c>
      <c r="L165" s="43" t="inlineStr">
        <is>
          <t>物探</t>
        </is>
      </c>
      <c r="M165" s="216">
        <f>VLOOKUP(L165,{"甲级","1.2";"乙级","1";"丙级","0.8";"物探","0.22"},2,0)</f>
        <v/>
      </c>
      <c r="N165" s="234">
        <f>K165*M165</f>
        <v/>
      </c>
      <c r="O165" s="234">
        <f>K165+N165</f>
        <v/>
      </c>
      <c r="P165" s="241" t="inlineStr">
        <is>
          <t xml:space="preserve"> 表7.2-1</t>
        </is>
      </c>
      <c r="Q165" s="76" t="n"/>
      <c r="R165" s="77" t="n"/>
      <c r="S165" s="72" t="n"/>
      <c r="T165" s="72" t="n"/>
      <c r="U165" s="72" t="n"/>
      <c r="V165" s="72" t="n"/>
      <c r="W165" s="235" t="n"/>
      <c r="X165" s="72" t="n"/>
      <c r="Y165" s="190" t="n"/>
      <c r="Z165" s="190" t="n"/>
      <c r="AA165" s="190" t="n"/>
      <c r="AB165" s="190" t="n"/>
      <c r="AC165" s="190" t="n"/>
      <c r="AD165" s="236" t="n"/>
      <c r="AE165" s="190" t="n"/>
    </row>
    <row r="166" s="186">
      <c r="A166" s="43" t="n">
        <v>163</v>
      </c>
      <c r="B166" s="197" t="n"/>
      <c r="C166" s="43" t="inlineStr">
        <is>
          <t>场地微振动</t>
        </is>
      </c>
      <c r="D166" s="43" t="inlineStr">
        <is>
          <t>地面</t>
        </is>
      </c>
      <c r="E166" s="195" t="n"/>
      <c r="F166" s="196" t="n"/>
      <c r="G166" s="212" t="inlineStr">
        <is>
          <t>点</t>
        </is>
      </c>
      <c r="H166" s="212" t="n"/>
      <c r="I166" s="233" t="n">
        <v>4500</v>
      </c>
      <c r="J166" s="234" t="n"/>
      <c r="K166" s="234">
        <f>I166*H166*J166</f>
        <v/>
      </c>
      <c r="L166" s="43" t="inlineStr">
        <is>
          <t>物探</t>
        </is>
      </c>
      <c r="M166" s="216">
        <f>VLOOKUP(L166,{"甲级","1.2";"乙级","1";"丙级","0.8";"物探","0.22"},2,0)</f>
        <v/>
      </c>
      <c r="N166" s="234">
        <f>K166*M166</f>
        <v/>
      </c>
      <c r="O166" s="234">
        <f>K166+N166</f>
        <v/>
      </c>
      <c r="P166" s="241" t="inlineStr">
        <is>
          <t xml:space="preserve"> 表7.2-1</t>
        </is>
      </c>
      <c r="Q166" s="76" t="n"/>
      <c r="R166" s="77" t="n"/>
      <c r="S166" s="72" t="n"/>
      <c r="T166" s="72" t="n"/>
      <c r="U166" s="72" t="n"/>
      <c r="V166" s="72" t="n"/>
      <c r="W166" s="235" t="n"/>
      <c r="X166" s="72" t="n"/>
      <c r="Y166" s="190" t="n"/>
      <c r="Z166" s="190" t="n"/>
      <c r="AA166" s="190" t="n"/>
      <c r="AB166" s="190" t="n"/>
      <c r="AC166" s="190" t="n"/>
      <c r="AD166" s="236" t="n"/>
      <c r="AE166" s="190" t="n"/>
    </row>
    <row r="167" s="186">
      <c r="A167" s="47" t="n">
        <v>164</v>
      </c>
      <c r="B167" s="43" t="inlineStr">
        <is>
          <t>室内
试验</t>
        </is>
      </c>
      <c r="C167" s="43" t="inlineStr">
        <is>
          <t>土工试验</t>
        </is>
      </c>
      <c r="D167" s="43" t="inlineStr">
        <is>
          <t>含水率</t>
        </is>
      </c>
      <c r="E167" s="196" t="n"/>
      <c r="F167" s="43" t="n"/>
      <c r="G167" s="212" t="inlineStr">
        <is>
          <t>件</t>
        </is>
      </c>
      <c r="H167" s="212" t="n"/>
      <c r="I167" s="233" t="n">
        <v>8</v>
      </c>
      <c r="J167" s="234" t="n"/>
      <c r="K167" s="234">
        <f>I167*H167*J167</f>
        <v/>
      </c>
      <c r="L167" s="43" t="inlineStr">
        <is>
          <t>试验</t>
        </is>
      </c>
      <c r="M167" s="216">
        <f>VLOOKUP(L167,{"甲级","1.2";"乙级","1.0";"丙级","0.8";"试验","0.1"},2,0)</f>
        <v/>
      </c>
      <c r="N167" s="234">
        <f>K167*M167</f>
        <v/>
      </c>
      <c r="O167" s="234">
        <f>K167+N167</f>
        <v/>
      </c>
      <c r="P167" s="241" t="inlineStr">
        <is>
          <t xml:space="preserve"> 表8.2-1</t>
        </is>
      </c>
      <c r="Q167" s="76" t="n"/>
      <c r="R167" s="77" t="n"/>
      <c r="S167" s="72" t="n"/>
      <c r="T167" s="72" t="n"/>
      <c r="U167" s="72" t="n"/>
      <c r="V167" s="72" t="n"/>
      <c r="W167" s="235" t="n"/>
      <c r="X167" s="72" t="n"/>
      <c r="Y167" s="190" t="n"/>
      <c r="Z167" s="190" t="n"/>
      <c r="AA167" s="190" t="n"/>
      <c r="AB167" s="190" t="n"/>
      <c r="AC167" s="190" t="n"/>
      <c r="AD167" s="236" t="n"/>
      <c r="AE167" s="190" t="n"/>
    </row>
    <row r="168" s="186">
      <c r="A168" s="43" t="n">
        <v>165</v>
      </c>
      <c r="B168" s="204" t="n"/>
      <c r="C168" s="204" t="n"/>
      <c r="D168" s="43" t="inlineStr">
        <is>
          <t>密度</t>
        </is>
      </c>
      <c r="E168" s="45" t="inlineStr">
        <is>
          <t>环刀法</t>
        </is>
      </c>
      <c r="F168" s="43" t="n"/>
      <c r="G168" s="212" t="inlineStr">
        <is>
          <t>件</t>
        </is>
      </c>
      <c r="H168" s="212" t="n"/>
      <c r="I168" s="233" t="n">
        <v>8</v>
      </c>
      <c r="J168" s="234" t="n"/>
      <c r="K168" s="234">
        <f>I168*H168*J168</f>
        <v/>
      </c>
      <c r="L168" s="43" t="inlineStr">
        <is>
          <t>试验</t>
        </is>
      </c>
      <c r="M168" s="216">
        <f>VLOOKUP(L168,{"甲级","1.2";"乙级","1.0";"丙级","0.8";"试验","0.1"},2,0)</f>
        <v/>
      </c>
      <c r="N168" s="234">
        <f>K168*M168</f>
        <v/>
      </c>
      <c r="O168" s="234">
        <f>K168+N168</f>
        <v/>
      </c>
      <c r="P168" s="241" t="inlineStr">
        <is>
          <t xml:space="preserve"> 表8.2-1</t>
        </is>
      </c>
      <c r="Q168" s="76" t="n"/>
      <c r="R168" s="77" t="n"/>
      <c r="S168" s="72" t="n"/>
      <c r="T168" s="72" t="n"/>
      <c r="U168" s="72" t="n"/>
      <c r="V168" s="72" t="n"/>
      <c r="W168" s="235" t="n"/>
      <c r="X168" s="72" t="n"/>
      <c r="Y168" s="190" t="n"/>
      <c r="Z168" s="190" t="n"/>
      <c r="AA168" s="190" t="n"/>
      <c r="AB168" s="190" t="n"/>
      <c r="AC168" s="190" t="n"/>
      <c r="AD168" s="236" t="n"/>
      <c r="AE168" s="190" t="n"/>
    </row>
    <row r="169" s="186">
      <c r="A169" s="47" t="n">
        <v>166</v>
      </c>
      <c r="B169" s="204" t="n"/>
      <c r="C169" s="204" t="n"/>
      <c r="D169" s="43" t="inlineStr">
        <is>
          <t>比重</t>
        </is>
      </c>
      <c r="E169" s="45" t="n"/>
      <c r="F169" s="43" t="n"/>
      <c r="G169" s="212" t="inlineStr">
        <is>
          <t>件</t>
        </is>
      </c>
      <c r="H169" s="212" t="n"/>
      <c r="I169" s="233" t="n">
        <v>19</v>
      </c>
      <c r="J169" s="234" t="n"/>
      <c r="K169" s="234">
        <f>I169*H169*J169</f>
        <v/>
      </c>
      <c r="L169" s="43" t="inlineStr">
        <is>
          <t>试验</t>
        </is>
      </c>
      <c r="M169" s="216">
        <f>VLOOKUP(L169,{"甲级","1.2";"乙级","1.0";"丙级","0.8";"试验","0.1"},2,0)</f>
        <v/>
      </c>
      <c r="N169" s="234">
        <f>K169*M169</f>
        <v/>
      </c>
      <c r="O169" s="234">
        <f>K169+N169</f>
        <v/>
      </c>
      <c r="P169" s="241" t="inlineStr">
        <is>
          <t xml:space="preserve"> 表8.2-1</t>
        </is>
      </c>
      <c r="Q169" s="76" t="n"/>
      <c r="R169" s="77" t="n"/>
      <c r="S169" s="72" t="n"/>
      <c r="T169" s="72" t="n"/>
      <c r="U169" s="72" t="n"/>
      <c r="V169" s="72" t="n"/>
      <c r="W169" s="235" t="n"/>
      <c r="X169" s="72" t="n"/>
      <c r="Y169" s="190" t="n"/>
      <c r="Z169" s="190" t="n"/>
      <c r="AA169" s="190" t="n"/>
      <c r="AB169" s="190" t="n"/>
      <c r="AC169" s="190" t="n"/>
      <c r="AD169" s="236" t="n"/>
      <c r="AE169" s="190" t="n"/>
    </row>
    <row r="170" s="186">
      <c r="A170" s="43" t="n">
        <v>167</v>
      </c>
      <c r="B170" s="204" t="n"/>
      <c r="C170" s="204" t="n"/>
      <c r="D170" s="43" t="inlineStr">
        <is>
          <t>颗粒分析</t>
        </is>
      </c>
      <c r="E170" s="45" t="inlineStr">
        <is>
          <t>筛析法（沙、砾）</t>
        </is>
      </c>
      <c r="F170" s="43" t="n"/>
      <c r="G170" s="212" t="inlineStr">
        <is>
          <t>件</t>
        </is>
      </c>
      <c r="H170" s="212" t="n"/>
      <c r="I170" s="233" t="n">
        <v>26</v>
      </c>
      <c r="J170" s="234" t="n"/>
      <c r="K170" s="234">
        <f>I170*H170*J170</f>
        <v/>
      </c>
      <c r="L170" s="43" t="inlineStr">
        <is>
          <t>试验</t>
        </is>
      </c>
      <c r="M170" s="216">
        <f>VLOOKUP(L170,{"甲级","1.2";"乙级","1.0";"丙级","0.8";"试验","0.1"},2,0)</f>
        <v/>
      </c>
      <c r="N170" s="234">
        <f>K170*M170</f>
        <v/>
      </c>
      <c r="O170" s="234">
        <f>K170+N170</f>
        <v/>
      </c>
      <c r="P170" s="241" t="inlineStr">
        <is>
          <t xml:space="preserve"> 表8.2-1</t>
        </is>
      </c>
      <c r="Q170" s="76" t="n"/>
      <c r="R170" s="77" t="n"/>
      <c r="S170" s="72" t="n"/>
      <c r="T170" s="72" t="n"/>
      <c r="U170" s="72" t="n"/>
      <c r="V170" s="72" t="n"/>
      <c r="W170" s="235" t="n"/>
      <c r="X170" s="72" t="n"/>
      <c r="Y170" s="190" t="n"/>
      <c r="Z170" s="190" t="n"/>
      <c r="AA170" s="190" t="n"/>
      <c r="AB170" s="190" t="n"/>
      <c r="AC170" s="190" t="n"/>
      <c r="AD170" s="236" t="n"/>
      <c r="AE170" s="190" t="n"/>
    </row>
    <row r="171" s="186">
      <c r="A171" s="47" t="n">
        <v>168</v>
      </c>
      <c r="B171" s="204" t="n"/>
      <c r="C171" s="204" t="n"/>
      <c r="D171" s="43" t="n"/>
      <c r="E171" s="45" t="inlineStr">
        <is>
          <t>筛析法（含粘性土）</t>
        </is>
      </c>
      <c r="F171" s="43" t="n"/>
      <c r="G171" s="212" t="inlineStr">
        <is>
          <t>件</t>
        </is>
      </c>
      <c r="H171" s="212" t="n"/>
      <c r="I171" s="233" t="n">
        <v>40</v>
      </c>
      <c r="J171" s="234" t="n"/>
      <c r="K171" s="234">
        <f>I171*H171*J171</f>
        <v/>
      </c>
      <c r="L171" s="43" t="inlineStr">
        <is>
          <t>试验</t>
        </is>
      </c>
      <c r="M171" s="216">
        <f>VLOOKUP(L171,{"甲级","1.2";"乙级","1.0";"丙级","0.8";"试验","0.1"},2,0)</f>
        <v/>
      </c>
      <c r="N171" s="234">
        <f>K171*M171</f>
        <v/>
      </c>
      <c r="O171" s="234">
        <f>K171+N171</f>
        <v/>
      </c>
      <c r="P171" s="241" t="inlineStr">
        <is>
          <t xml:space="preserve"> 表8.2-1</t>
        </is>
      </c>
      <c r="Q171" s="76" t="n"/>
      <c r="R171" s="77" t="n"/>
      <c r="S171" s="72" t="n"/>
      <c r="T171" s="72" t="n"/>
      <c r="U171" s="72" t="n"/>
      <c r="V171" s="72" t="n"/>
      <c r="W171" s="235" t="n"/>
      <c r="X171" s="72" t="n"/>
      <c r="Y171" s="190" t="n"/>
      <c r="Z171" s="190" t="n"/>
      <c r="AA171" s="190" t="n"/>
      <c r="AB171" s="190" t="n"/>
      <c r="AC171" s="190" t="n"/>
      <c r="AD171" s="236" t="n"/>
      <c r="AE171" s="190" t="n"/>
    </row>
    <row r="172" s="186">
      <c r="A172" s="43" t="n">
        <v>169</v>
      </c>
      <c r="B172" s="204" t="n"/>
      <c r="C172" s="204" t="n"/>
      <c r="D172" s="43" t="inlineStr">
        <is>
          <t>液限</t>
        </is>
      </c>
      <c r="E172" s="54" t="inlineStr">
        <is>
          <t>碟式仪法</t>
        </is>
      </c>
      <c r="F172" s="43" t="n"/>
      <c r="G172" s="212" t="inlineStr">
        <is>
          <t>件</t>
        </is>
      </c>
      <c r="H172" s="212" t="n"/>
      <c r="I172" s="233" t="n">
        <v>23</v>
      </c>
      <c r="J172" s="234" t="n"/>
      <c r="K172" s="234">
        <f>I172*H172*J172</f>
        <v/>
      </c>
      <c r="L172" s="43" t="inlineStr">
        <is>
          <t>试验</t>
        </is>
      </c>
      <c r="M172" s="216">
        <f>VLOOKUP(L172,{"甲级","1.2";"乙级","1.0";"丙级","0.8";"试验","0.1"},2,0)</f>
        <v/>
      </c>
      <c r="N172" s="234">
        <f>K172*M172</f>
        <v/>
      </c>
      <c r="O172" s="234">
        <f>K172+N172</f>
        <v/>
      </c>
      <c r="P172" s="241" t="inlineStr">
        <is>
          <t xml:space="preserve"> 表8.2-1</t>
        </is>
      </c>
      <c r="Q172" s="76" t="n"/>
      <c r="R172" s="77" t="n"/>
      <c r="S172" s="72" t="n"/>
      <c r="T172" s="72" t="n"/>
      <c r="U172" s="72" t="n"/>
      <c r="V172" s="72" t="n"/>
      <c r="W172" s="235" t="n"/>
      <c r="X172" s="72" t="n"/>
      <c r="Y172" s="190" t="n"/>
      <c r="Z172" s="190" t="n"/>
      <c r="AA172" s="190" t="n"/>
      <c r="AB172" s="190" t="n"/>
      <c r="AC172" s="190" t="n"/>
      <c r="AD172" s="236" t="n"/>
      <c r="AE172" s="190" t="n"/>
    </row>
    <row r="173" s="186">
      <c r="A173" s="47" t="n">
        <v>170</v>
      </c>
      <c r="B173" s="204" t="n"/>
      <c r="C173" s="204" t="n"/>
      <c r="D173" s="197" t="n"/>
      <c r="E173" s="54" t="inlineStr">
        <is>
          <t>圆锥仪法</t>
        </is>
      </c>
      <c r="F173" s="43" t="n"/>
      <c r="G173" s="212" t="inlineStr">
        <is>
          <t>件</t>
        </is>
      </c>
      <c r="H173" s="212" t="n"/>
      <c r="I173" s="233" t="n">
        <v>15</v>
      </c>
      <c r="J173" s="234" t="n"/>
      <c r="K173" s="234">
        <f>I173*H173*J173</f>
        <v/>
      </c>
      <c r="L173" s="43" t="inlineStr">
        <is>
          <t>试验</t>
        </is>
      </c>
      <c r="M173" s="216">
        <f>VLOOKUP(L173,{"甲级","1.2";"乙级","1.0";"丙级","0.8";"试验","0.1"},2,0)</f>
        <v/>
      </c>
      <c r="N173" s="234">
        <f>K173*M173</f>
        <v/>
      </c>
      <c r="O173" s="234">
        <f>K173+N173</f>
        <v/>
      </c>
      <c r="P173" s="241" t="inlineStr">
        <is>
          <t xml:space="preserve"> 表8.2-1</t>
        </is>
      </c>
      <c r="Q173" s="76" t="n"/>
      <c r="R173" s="77" t="n"/>
      <c r="S173" s="72" t="n"/>
      <c r="T173" s="72" t="n"/>
      <c r="U173" s="72" t="n"/>
      <c r="V173" s="72" t="n"/>
      <c r="W173" s="235" t="n"/>
      <c r="X173" s="72" t="n"/>
      <c r="Y173" s="190" t="n"/>
      <c r="Z173" s="190" t="n"/>
      <c r="AA173" s="190" t="n"/>
      <c r="AB173" s="190" t="n"/>
      <c r="AC173" s="190" t="n"/>
      <c r="AD173" s="236" t="n"/>
      <c r="AE173" s="190" t="n"/>
    </row>
    <row r="174" s="186">
      <c r="A174" s="43" t="n">
        <v>171</v>
      </c>
      <c r="B174" s="204" t="n"/>
      <c r="C174" s="204" t="n"/>
      <c r="D174" s="43" t="inlineStr">
        <is>
          <t>塑限</t>
        </is>
      </c>
      <c r="E174" s="45" t="n"/>
      <c r="F174" s="43" t="n"/>
      <c r="G174" s="212" t="inlineStr">
        <is>
          <t>件</t>
        </is>
      </c>
      <c r="H174" s="212" t="n"/>
      <c r="I174" s="233" t="n">
        <v>30</v>
      </c>
      <c r="J174" s="234" t="n"/>
      <c r="K174" s="234">
        <f>I174*H174*J174</f>
        <v/>
      </c>
      <c r="L174" s="43" t="inlineStr">
        <is>
          <t>试验</t>
        </is>
      </c>
      <c r="M174" s="216">
        <f>VLOOKUP(L174,{"甲级","1.2";"乙级","1.0";"丙级","0.8";"试验","0.1"},2,0)</f>
        <v/>
      </c>
      <c r="N174" s="234">
        <f>K174*M174</f>
        <v/>
      </c>
      <c r="O174" s="234">
        <f>K174+N174</f>
        <v/>
      </c>
      <c r="P174" s="241" t="inlineStr">
        <is>
          <t xml:space="preserve"> 表8.2-1</t>
        </is>
      </c>
      <c r="Q174" s="76" t="n"/>
      <c r="R174" s="77" t="n"/>
      <c r="S174" s="72" t="n"/>
      <c r="T174" s="72" t="n"/>
      <c r="U174" s="72" t="n"/>
      <c r="V174" s="72" t="n"/>
      <c r="W174" s="235" t="n"/>
      <c r="X174" s="72" t="n"/>
      <c r="Y174" s="190" t="n"/>
      <c r="Z174" s="190" t="n"/>
      <c r="AA174" s="190" t="n"/>
      <c r="AB174" s="190" t="n"/>
      <c r="AC174" s="190" t="n"/>
      <c r="AD174" s="236" t="n"/>
      <c r="AE174" s="190" t="n"/>
    </row>
    <row r="175" s="186">
      <c r="A175" s="47" t="n">
        <v>172</v>
      </c>
      <c r="B175" s="204" t="n"/>
      <c r="C175" s="204" t="n"/>
      <c r="D175" s="92" t="inlineStr">
        <is>
          <t>击实</t>
        </is>
      </c>
      <c r="E175" s="54" t="inlineStr">
        <is>
          <t>轻型击实法</t>
        </is>
      </c>
      <c r="F175" s="43" t="n"/>
      <c r="G175" s="212" t="inlineStr">
        <is>
          <t>件</t>
        </is>
      </c>
      <c r="H175" s="212" t="n"/>
      <c r="I175" s="233" t="n">
        <v>319</v>
      </c>
      <c r="J175" s="234" t="n"/>
      <c r="K175" s="234">
        <f>I175*H175*J175</f>
        <v/>
      </c>
      <c r="L175" s="43" t="inlineStr">
        <is>
          <t>试验</t>
        </is>
      </c>
      <c r="M175" s="216">
        <f>VLOOKUP(L175,{"甲级","1.2";"乙级","1.0";"丙级","0.8";"试验","0.1"},2,0)</f>
        <v/>
      </c>
      <c r="N175" s="234">
        <f>K175*M175</f>
        <v/>
      </c>
      <c r="O175" s="234">
        <f>K175+N175</f>
        <v/>
      </c>
      <c r="P175" s="241" t="inlineStr">
        <is>
          <t xml:space="preserve"> 表8.2-1</t>
        </is>
      </c>
      <c r="Q175" s="76" t="n"/>
      <c r="R175" s="77" t="n"/>
      <c r="S175" s="72" t="n"/>
      <c r="T175" s="72" t="n"/>
      <c r="U175" s="72" t="n"/>
      <c r="V175" s="72" t="n"/>
      <c r="W175" s="235" t="n"/>
      <c r="X175" s="72" t="n"/>
      <c r="Y175" s="190" t="n"/>
      <c r="Z175" s="190" t="n"/>
      <c r="AA175" s="190" t="n"/>
      <c r="AB175" s="190" t="n"/>
      <c r="AC175" s="190" t="n"/>
      <c r="AD175" s="236" t="n"/>
      <c r="AE175" s="190" t="n"/>
    </row>
    <row r="176" s="186">
      <c r="A176" s="43" t="n">
        <v>173</v>
      </c>
      <c r="B176" s="204" t="n"/>
      <c r="C176" s="204" t="n"/>
      <c r="D176" s="197" t="n"/>
      <c r="E176" s="54" t="inlineStr">
        <is>
          <t>重型击实法</t>
        </is>
      </c>
      <c r="F176" s="43" t="n"/>
      <c r="G176" s="212" t="inlineStr">
        <is>
          <t>件</t>
        </is>
      </c>
      <c r="H176" s="212" t="n"/>
      <c r="I176" s="233" t="n">
        <v>638</v>
      </c>
      <c r="J176" s="234" t="n"/>
      <c r="K176" s="234">
        <f>I176*H176*J176</f>
        <v/>
      </c>
      <c r="L176" s="43" t="inlineStr">
        <is>
          <t>试验</t>
        </is>
      </c>
      <c r="M176" s="216">
        <f>VLOOKUP(L176,{"甲级","1.2";"乙级","1.0";"丙级","0.8";"试验","0.1"},2,0)</f>
        <v/>
      </c>
      <c r="N176" s="234">
        <f>K176*M176</f>
        <v/>
      </c>
      <c r="O176" s="234">
        <f>K176+N176</f>
        <v/>
      </c>
      <c r="P176" s="241" t="inlineStr">
        <is>
          <t xml:space="preserve"> 表8.2-1</t>
        </is>
      </c>
      <c r="Q176" s="76" t="n"/>
      <c r="R176" s="77" t="n"/>
      <c r="S176" s="72" t="n"/>
      <c r="T176" s="72" t="n"/>
      <c r="U176" s="72" t="n"/>
      <c r="V176" s="72" t="n"/>
      <c r="W176" s="235" t="n"/>
      <c r="X176" s="72" t="n"/>
      <c r="Y176" s="190" t="n"/>
      <c r="Z176" s="190" t="n"/>
      <c r="AA176" s="190" t="n"/>
      <c r="AB176" s="190" t="n"/>
      <c r="AC176" s="190" t="n"/>
      <c r="AD176" s="236" t="n"/>
      <c r="AE176" s="190" t="n"/>
    </row>
    <row r="177" s="186">
      <c r="A177" s="47" t="n">
        <v>174</v>
      </c>
      <c r="B177" s="204" t="n"/>
      <c r="C177" s="204" t="n"/>
      <c r="D177" s="92" t="inlineStr">
        <is>
          <t>渗透</t>
        </is>
      </c>
      <c r="E177" s="54" t="inlineStr">
        <is>
          <t>粘土、粉土类</t>
        </is>
      </c>
      <c r="F177" s="43" t="n"/>
      <c r="G177" s="212" t="inlineStr">
        <is>
          <t>件</t>
        </is>
      </c>
      <c r="H177" s="212" t="n"/>
      <c r="I177" s="233" t="n">
        <v>55</v>
      </c>
      <c r="J177" s="234" t="n"/>
      <c r="K177" s="234">
        <f>I177*H177*J177</f>
        <v/>
      </c>
      <c r="L177" s="43" t="inlineStr">
        <is>
          <t>试验</t>
        </is>
      </c>
      <c r="M177" s="216">
        <f>VLOOKUP(L177,{"甲级","1.2";"乙级","1.0";"丙级","0.8";"试验","0.1"},2,0)</f>
        <v/>
      </c>
      <c r="N177" s="234">
        <f>K177*M177</f>
        <v/>
      </c>
      <c r="O177" s="234">
        <f>K177+N177</f>
        <v/>
      </c>
      <c r="P177" s="241" t="inlineStr">
        <is>
          <t xml:space="preserve"> 表8.2-1</t>
        </is>
      </c>
      <c r="Q177" s="76" t="n"/>
      <c r="R177" s="77" t="n"/>
      <c r="S177" s="72" t="n"/>
      <c r="T177" s="72" t="n"/>
      <c r="U177" s="72" t="n"/>
      <c r="V177" s="72" t="n"/>
      <c r="W177" s="235" t="n"/>
      <c r="X177" s="72" t="n"/>
      <c r="Y177" s="190" t="n"/>
      <c r="Z177" s="190" t="n"/>
      <c r="AA177" s="190" t="n"/>
      <c r="AB177" s="190" t="n"/>
      <c r="AC177" s="190" t="n"/>
      <c r="AD177" s="236" t="n"/>
      <c r="AE177" s="190" t="n"/>
    </row>
    <row r="178" s="186">
      <c r="A178" s="43" t="n">
        <v>175</v>
      </c>
      <c r="B178" s="204" t="n"/>
      <c r="C178" s="204" t="n"/>
      <c r="D178" s="197" t="n"/>
      <c r="E178" s="54" t="inlineStr">
        <is>
          <t>砂土类</t>
        </is>
      </c>
      <c r="F178" s="43" t="n"/>
      <c r="G178" s="212" t="inlineStr">
        <is>
          <t>件</t>
        </is>
      </c>
      <c r="H178" s="212" t="n"/>
      <c r="I178" s="233" t="n">
        <v>29</v>
      </c>
      <c r="J178" s="234" t="n"/>
      <c r="K178" s="234">
        <f>I178*H178*J178</f>
        <v/>
      </c>
      <c r="L178" s="43" t="inlineStr">
        <is>
          <t>试验</t>
        </is>
      </c>
      <c r="M178" s="216">
        <f>VLOOKUP(L178,{"甲级","1.2";"乙级","1.0";"丙级","0.8";"试验","0.1"},2,0)</f>
        <v/>
      </c>
      <c r="N178" s="234">
        <f>K178*M178</f>
        <v/>
      </c>
      <c r="O178" s="234">
        <f>K178+N178</f>
        <v/>
      </c>
      <c r="P178" s="241" t="inlineStr">
        <is>
          <t xml:space="preserve"> 表8.2-1</t>
        </is>
      </c>
      <c r="Q178" s="76" t="n"/>
      <c r="R178" s="77" t="n"/>
      <c r="S178" s="72" t="n"/>
      <c r="T178" s="72" t="n"/>
      <c r="U178" s="72" t="n"/>
      <c r="V178" s="72" t="n"/>
      <c r="W178" s="235" t="n"/>
      <c r="X178" s="72" t="n"/>
      <c r="Y178" s="190" t="n"/>
      <c r="Z178" s="190" t="n"/>
      <c r="AA178" s="190" t="n"/>
      <c r="AB178" s="190" t="n"/>
      <c r="AC178" s="190" t="n"/>
      <c r="AD178" s="236" t="n"/>
      <c r="AE178" s="190" t="n"/>
    </row>
    <row r="179" s="186">
      <c r="A179" s="47" t="n">
        <v>176</v>
      </c>
      <c r="B179" s="204" t="n"/>
      <c r="C179" s="204" t="n"/>
      <c r="D179" s="92" t="inlineStr">
        <is>
          <t>标准固结</t>
        </is>
      </c>
      <c r="E179" s="54" t="inlineStr">
        <is>
          <t>快速法</t>
        </is>
      </c>
      <c r="F179" s="43" t="n"/>
      <c r="G179" s="212" t="inlineStr">
        <is>
          <t>件</t>
        </is>
      </c>
      <c r="H179" s="212" t="n"/>
      <c r="I179" s="217" t="n">
        <v>264</v>
      </c>
      <c r="J179" s="234" t="n"/>
      <c r="K179" s="234">
        <f>I179*H179*J179</f>
        <v/>
      </c>
      <c r="L179" s="43" t="inlineStr">
        <is>
          <t>试验</t>
        </is>
      </c>
      <c r="M179" s="216">
        <f>VLOOKUP(L179,{"甲级","1.2";"乙级","1.0";"丙级","0.8";"试验","0.1"},2,0)</f>
        <v/>
      </c>
      <c r="N179" s="234">
        <f>K179*M179</f>
        <v/>
      </c>
      <c r="O179" s="234">
        <f>K179+N179</f>
        <v/>
      </c>
      <c r="P179" s="241" t="inlineStr">
        <is>
          <t xml:space="preserve"> 表8.2-1</t>
        </is>
      </c>
      <c r="Q179" s="76" t="n"/>
      <c r="R179" s="77" t="n"/>
      <c r="S179" s="72" t="n"/>
      <c r="T179" s="72" t="n"/>
      <c r="U179" s="72" t="n"/>
      <c r="V179" s="72" t="n"/>
      <c r="W179" s="235" t="n"/>
      <c r="X179" s="72" t="n"/>
      <c r="Y179" s="190" t="n"/>
      <c r="Z179" s="190" t="n"/>
      <c r="AA179" s="190" t="n"/>
      <c r="AB179" s="190" t="n"/>
      <c r="AC179" s="190" t="n"/>
      <c r="AD179" s="236" t="n"/>
      <c r="AE179" s="190" t="n"/>
    </row>
    <row r="180" s="186">
      <c r="A180" s="43" t="n">
        <v>177</v>
      </c>
      <c r="B180" s="204" t="n"/>
      <c r="C180" s="204" t="n"/>
      <c r="D180" s="197" t="n"/>
      <c r="E180" s="54" t="inlineStr">
        <is>
          <t>慢速法</t>
        </is>
      </c>
      <c r="F180" s="43" t="n"/>
      <c r="G180" s="212" t="inlineStr">
        <is>
          <t>件</t>
        </is>
      </c>
      <c r="H180" s="212" t="n"/>
      <c r="I180" s="217" t="n">
        <v>497</v>
      </c>
      <c r="J180" s="234" t="n"/>
      <c r="K180" s="234">
        <f>I180*H180*J180</f>
        <v/>
      </c>
      <c r="L180" s="43" t="inlineStr">
        <is>
          <t>试验</t>
        </is>
      </c>
      <c r="M180" s="216">
        <f>VLOOKUP(L180,{"甲级","1.2";"乙级","1.0";"丙级","0.8";"试验","0.1"},2,0)</f>
        <v/>
      </c>
      <c r="N180" s="234">
        <f>K180*M180</f>
        <v/>
      </c>
      <c r="O180" s="234">
        <f>K180+N180</f>
        <v/>
      </c>
      <c r="P180" s="241" t="inlineStr">
        <is>
          <t xml:space="preserve"> 表8.2-1</t>
        </is>
      </c>
      <c r="Q180" s="76" t="n"/>
      <c r="R180" s="77" t="n"/>
      <c r="S180" s="72" t="n"/>
      <c r="T180" s="72" t="n"/>
      <c r="U180" s="72" t="n"/>
      <c r="V180" s="72" t="n"/>
      <c r="W180" s="235" t="n"/>
      <c r="X180" s="72" t="n"/>
      <c r="Y180" s="190" t="n"/>
      <c r="Z180" s="190" t="n"/>
      <c r="AA180" s="190" t="n"/>
      <c r="AB180" s="190" t="n"/>
      <c r="AC180" s="190" t="n"/>
      <c r="AD180" s="236" t="n"/>
      <c r="AE180" s="190" t="n"/>
    </row>
    <row r="181" s="186">
      <c r="A181" s="47" t="n">
        <v>178</v>
      </c>
      <c r="B181" s="204" t="n"/>
      <c r="C181" s="204" t="n"/>
      <c r="D181" s="92" t="inlineStr">
        <is>
          <t>压缩</t>
        </is>
      </c>
      <c r="E181" s="54" t="inlineStr">
        <is>
          <t>快速法</t>
        </is>
      </c>
      <c r="F181" s="43" t="inlineStr">
        <is>
          <t>四级</t>
        </is>
      </c>
      <c r="G181" s="212" t="inlineStr">
        <is>
          <t>件</t>
        </is>
      </c>
      <c r="H181" s="212" t="n"/>
      <c r="I181" s="217" t="n">
        <v>40</v>
      </c>
      <c r="J181" s="234" t="n"/>
      <c r="K181" s="234">
        <f>I181*H181*J181</f>
        <v/>
      </c>
      <c r="L181" s="43" t="inlineStr">
        <is>
          <t>试验</t>
        </is>
      </c>
      <c r="M181" s="216">
        <f>VLOOKUP(L181,{"甲级","1.2";"乙级","1.0";"丙级","0.8";"试验","0.1"},2,0)</f>
        <v/>
      </c>
      <c r="N181" s="234">
        <f>K181*M181</f>
        <v/>
      </c>
      <c r="O181" s="234">
        <f>K181+N181</f>
        <v/>
      </c>
      <c r="P181" s="241" t="inlineStr">
        <is>
          <t xml:space="preserve"> 表8.2-1</t>
        </is>
      </c>
      <c r="Q181" s="76" t="n"/>
      <c r="R181" s="77" t="n"/>
      <c r="S181" s="72" t="n"/>
      <c r="T181" s="72" t="n"/>
      <c r="U181" s="72" t="n"/>
      <c r="V181" s="72" t="n"/>
      <c r="W181" s="235" t="n"/>
      <c r="X181" s="72" t="n"/>
      <c r="Y181" s="190" t="n"/>
      <c r="Z181" s="190" t="n"/>
      <c r="AA181" s="190" t="n"/>
      <c r="AB181" s="190" t="n"/>
      <c r="AC181" s="190" t="n"/>
      <c r="AD181" s="236" t="n"/>
      <c r="AE181" s="190" t="n"/>
    </row>
    <row r="182" s="186">
      <c r="A182" s="43" t="n">
        <v>179</v>
      </c>
      <c r="B182" s="204" t="n"/>
      <c r="C182" s="204" t="n"/>
      <c r="D182" s="197" t="n"/>
      <c r="E182" s="54" t="inlineStr">
        <is>
          <t>慢速法</t>
        </is>
      </c>
      <c r="F182" s="43" t="inlineStr">
        <is>
          <t>四级</t>
        </is>
      </c>
      <c r="G182" s="212" t="inlineStr">
        <is>
          <t>件</t>
        </is>
      </c>
      <c r="H182" s="212" t="n"/>
      <c r="I182" s="217" t="n">
        <v>116</v>
      </c>
      <c r="J182" s="234" t="n"/>
      <c r="K182" s="234">
        <f>I182*H182*J182</f>
        <v/>
      </c>
      <c r="L182" s="43" t="inlineStr">
        <is>
          <t>试验</t>
        </is>
      </c>
      <c r="M182" s="216">
        <f>VLOOKUP(L182,{"甲级","1.2";"乙级","1.0";"丙级","0.8";"试验","0.1"},2,0)</f>
        <v/>
      </c>
      <c r="N182" s="234">
        <f>K182*M182</f>
        <v/>
      </c>
      <c r="O182" s="234">
        <f>K182+N182</f>
        <v/>
      </c>
      <c r="P182" s="241" t="inlineStr">
        <is>
          <t xml:space="preserve"> 表8.2-1</t>
        </is>
      </c>
      <c r="Q182" s="76" t="n"/>
      <c r="R182" s="77" t="n"/>
      <c r="S182" s="72" t="n"/>
      <c r="T182" s="72" t="n"/>
      <c r="U182" s="72" t="n"/>
      <c r="V182" s="72" t="n"/>
      <c r="W182" s="235" t="n"/>
      <c r="X182" s="72" t="n"/>
      <c r="Y182" s="190" t="n"/>
      <c r="Z182" s="190" t="n"/>
      <c r="AA182" s="190" t="n"/>
      <c r="AB182" s="190" t="n"/>
      <c r="AC182" s="190" t="n"/>
      <c r="AD182" s="236" t="n"/>
      <c r="AE182" s="190" t="n"/>
    </row>
    <row r="183" s="186">
      <c r="A183" s="47" t="n">
        <v>180</v>
      </c>
      <c r="B183" s="204" t="n"/>
      <c r="C183" s="204" t="n"/>
      <c r="D183" s="92" t="inlineStr">
        <is>
          <t>三轴压缩</t>
        </is>
      </c>
      <c r="E183" s="54" t="inlineStr">
        <is>
          <t>不固结不排水</t>
        </is>
      </c>
      <c r="F183" s="43" t="n"/>
      <c r="G183" s="92" t="inlineStr">
        <is>
          <t>组</t>
        </is>
      </c>
      <c r="H183" s="212" t="n"/>
      <c r="I183" s="217" t="n">
        <v>413</v>
      </c>
      <c r="J183" s="234" t="n"/>
      <c r="K183" s="234">
        <f>I183*H183*J183</f>
        <v/>
      </c>
      <c r="L183" s="43" t="inlineStr">
        <is>
          <t>试验</t>
        </is>
      </c>
      <c r="M183" s="216">
        <f>VLOOKUP(L183,{"甲级","1.2";"乙级","1.0";"丙级","0.8";"试验","0.1"},2,0)</f>
        <v/>
      </c>
      <c r="N183" s="234">
        <f>K183*M183</f>
        <v/>
      </c>
      <c r="O183" s="234">
        <f>K183+N183</f>
        <v/>
      </c>
      <c r="P183" s="241" t="inlineStr">
        <is>
          <t xml:space="preserve"> 表8.2-1</t>
        </is>
      </c>
      <c r="Q183" s="76" t="n"/>
      <c r="R183" s="77" t="n"/>
      <c r="S183" s="72" t="n"/>
      <c r="T183" s="72" t="n"/>
      <c r="U183" s="72" t="n"/>
      <c r="V183" s="72" t="n"/>
      <c r="W183" s="235" t="n"/>
      <c r="X183" s="72" t="n"/>
      <c r="Y183" s="190" t="n"/>
      <c r="Z183" s="190" t="n"/>
      <c r="AA183" s="190" t="n"/>
      <c r="AB183" s="190" t="n"/>
      <c r="AC183" s="190" t="n"/>
      <c r="AD183" s="236" t="n"/>
      <c r="AE183" s="190" t="n"/>
    </row>
    <row r="184" s="186">
      <c r="A184" s="43" t="n">
        <v>181</v>
      </c>
      <c r="B184" s="204" t="n"/>
      <c r="C184" s="204" t="n"/>
      <c r="D184" s="204" t="n"/>
      <c r="E184" s="54" t="inlineStr">
        <is>
          <t>固结不排水</t>
        </is>
      </c>
      <c r="F184" s="43" t="n"/>
      <c r="G184" s="92" t="inlineStr">
        <is>
          <t>组</t>
        </is>
      </c>
      <c r="H184" s="212" t="n"/>
      <c r="I184" s="217" t="n">
        <v>775</v>
      </c>
      <c r="J184" s="234" t="n"/>
      <c r="K184" s="234">
        <f>I184*H184*J184</f>
        <v/>
      </c>
      <c r="L184" s="43" t="inlineStr">
        <is>
          <t>试验</t>
        </is>
      </c>
      <c r="M184" s="216">
        <f>VLOOKUP(L184,{"甲级","1.2";"乙级","1.0";"丙级","0.8";"试验","0.1"},2,0)</f>
        <v/>
      </c>
      <c r="N184" s="234">
        <f>K184*M184</f>
        <v/>
      </c>
      <c r="O184" s="234">
        <f>K184+N184</f>
        <v/>
      </c>
      <c r="P184" s="241" t="inlineStr">
        <is>
          <t xml:space="preserve"> 表8.2-1</t>
        </is>
      </c>
      <c r="Q184" s="76" t="n"/>
      <c r="R184" s="77" t="n"/>
      <c r="S184" s="72" t="n"/>
      <c r="T184" s="72" t="n"/>
      <c r="U184" s="72" t="n"/>
      <c r="V184" s="72" t="n"/>
      <c r="W184" s="235" t="n"/>
      <c r="X184" s="72" t="n"/>
      <c r="Y184" s="190" t="n"/>
      <c r="Z184" s="190" t="n"/>
      <c r="AA184" s="190" t="n"/>
      <c r="AB184" s="190" t="n"/>
      <c r="AC184" s="190" t="n"/>
      <c r="AD184" s="236" t="n"/>
      <c r="AE184" s="190" t="n"/>
    </row>
    <row r="185" s="186">
      <c r="A185" s="47" t="n">
        <v>182</v>
      </c>
      <c r="B185" s="204" t="n"/>
      <c r="C185" s="204" t="n"/>
      <c r="D185" s="204" t="n"/>
      <c r="E185" s="54" t="inlineStr">
        <is>
          <t>固结不排水测孔压</t>
        </is>
      </c>
      <c r="F185" s="43" t="n"/>
      <c r="G185" s="92" t="inlineStr">
        <is>
          <t>组</t>
        </is>
      </c>
      <c r="H185" s="212" t="n"/>
      <c r="I185" s="217" t="n">
        <v>930</v>
      </c>
      <c r="J185" s="234" t="n"/>
      <c r="K185" s="234">
        <f>I185*H185*J185</f>
        <v/>
      </c>
      <c r="L185" s="43" t="inlineStr">
        <is>
          <t>试验</t>
        </is>
      </c>
      <c r="M185" s="216">
        <f>VLOOKUP(L185,{"甲级","1.2";"乙级","1.0";"丙级","0.8";"试验","0.1"},2,0)</f>
        <v/>
      </c>
      <c r="N185" s="234">
        <f>K185*M185</f>
        <v/>
      </c>
      <c r="O185" s="234">
        <f>K185+N185</f>
        <v/>
      </c>
      <c r="P185" s="241" t="inlineStr">
        <is>
          <t xml:space="preserve"> 表8.2-1</t>
        </is>
      </c>
      <c r="Q185" s="76" t="n"/>
      <c r="R185" s="77" t="n"/>
      <c r="S185" s="72" t="n"/>
      <c r="T185" s="72" t="n"/>
      <c r="U185" s="72" t="n"/>
      <c r="V185" s="72" t="n"/>
      <c r="W185" s="235" t="n"/>
      <c r="X185" s="72" t="n"/>
      <c r="Y185" s="190" t="n"/>
      <c r="Z185" s="190" t="n"/>
      <c r="AA185" s="190" t="n"/>
      <c r="AB185" s="190" t="n"/>
      <c r="AC185" s="190" t="n"/>
      <c r="AD185" s="236" t="n"/>
      <c r="AE185" s="190" t="n"/>
    </row>
    <row r="186" s="186">
      <c r="A186" s="43" t="n">
        <v>183</v>
      </c>
      <c r="B186" s="204" t="n"/>
      <c r="C186" s="204" t="n"/>
      <c r="D186" s="197" t="n"/>
      <c r="E186" s="54" t="inlineStr">
        <is>
          <t>固结排水</t>
        </is>
      </c>
      <c r="F186" s="43" t="n"/>
      <c r="G186" s="92" t="inlineStr">
        <is>
          <t>组</t>
        </is>
      </c>
      <c r="H186" s="212" t="n"/>
      <c r="I186" s="217" t="n">
        <v>1240</v>
      </c>
      <c r="J186" s="234" t="n"/>
      <c r="K186" s="234">
        <f>I186*H186*J186</f>
        <v/>
      </c>
      <c r="L186" s="43" t="inlineStr">
        <is>
          <t>试验</t>
        </is>
      </c>
      <c r="M186" s="216">
        <f>VLOOKUP(L186,{"甲级","1.2";"乙级","1.0";"丙级","0.8";"试验","0.1"},2,0)</f>
        <v/>
      </c>
      <c r="N186" s="234">
        <f>K186*M186</f>
        <v/>
      </c>
      <c r="O186" s="234">
        <f>K186+N186</f>
        <v/>
      </c>
      <c r="P186" s="241" t="inlineStr">
        <is>
          <t xml:space="preserve"> 表8.2-1</t>
        </is>
      </c>
      <c r="Q186" s="76" t="n"/>
      <c r="R186" s="77" t="n"/>
      <c r="S186" s="72" t="n"/>
      <c r="T186" s="72" t="n"/>
      <c r="U186" s="72" t="n"/>
      <c r="V186" s="72" t="n"/>
      <c r="W186" s="235" t="n"/>
      <c r="X186" s="72" t="n"/>
      <c r="Y186" s="190" t="n"/>
      <c r="Z186" s="190" t="n"/>
      <c r="AA186" s="190" t="n"/>
      <c r="AB186" s="190" t="n"/>
      <c r="AC186" s="190" t="n"/>
      <c r="AD186" s="236" t="n"/>
      <c r="AE186" s="190" t="n"/>
    </row>
    <row r="187" s="186">
      <c r="A187" s="47" t="n">
        <v>184</v>
      </c>
      <c r="B187" s="204" t="n"/>
      <c r="C187" s="204" t="n"/>
      <c r="D187" s="92" t="inlineStr">
        <is>
          <t>直接剪切</t>
        </is>
      </c>
      <c r="E187" s="54" t="inlineStr">
        <is>
          <t>快剪</t>
        </is>
      </c>
      <c r="F187" s="43" t="n"/>
      <c r="G187" s="92" t="inlineStr">
        <is>
          <t>组</t>
        </is>
      </c>
      <c r="H187" s="212" t="n"/>
      <c r="I187" s="217" t="n">
        <v>49</v>
      </c>
      <c r="J187" s="234" t="n"/>
      <c r="K187" s="234">
        <f>I187*H187*J187</f>
        <v/>
      </c>
      <c r="L187" s="43" t="inlineStr">
        <is>
          <t>试验</t>
        </is>
      </c>
      <c r="M187" s="216">
        <f>VLOOKUP(L187,{"甲级","1.2";"乙级","1.0";"丙级","0.8";"试验","0.1"},2,0)</f>
        <v/>
      </c>
      <c r="N187" s="234">
        <f>K187*M187</f>
        <v/>
      </c>
      <c r="O187" s="234">
        <f>K187+N187</f>
        <v/>
      </c>
      <c r="P187" s="241" t="inlineStr">
        <is>
          <t xml:space="preserve"> 表8.2-1</t>
        </is>
      </c>
      <c r="Q187" s="76" t="n"/>
      <c r="R187" s="77" t="n"/>
      <c r="S187" s="72" t="n"/>
      <c r="T187" s="72" t="n"/>
      <c r="U187" s="72" t="n"/>
      <c r="V187" s="72" t="n"/>
      <c r="W187" s="235" t="n"/>
      <c r="X187" s="72" t="n"/>
      <c r="Y187" s="190" t="n"/>
      <c r="Z187" s="190" t="n"/>
      <c r="AA187" s="190" t="n"/>
      <c r="AB187" s="190" t="n"/>
      <c r="AC187" s="190" t="n"/>
      <c r="AD187" s="236" t="n"/>
      <c r="AE187" s="190" t="n"/>
    </row>
    <row r="188" s="186">
      <c r="A188" s="43" t="n">
        <v>185</v>
      </c>
      <c r="B188" s="204" t="n"/>
      <c r="C188" s="204" t="n"/>
      <c r="D188" s="204" t="n"/>
      <c r="E188" s="54" t="inlineStr">
        <is>
          <t>固结快剪</t>
        </is>
      </c>
      <c r="F188" s="43" t="n"/>
      <c r="G188" s="92" t="inlineStr">
        <is>
          <t>组</t>
        </is>
      </c>
      <c r="H188" s="212" t="n"/>
      <c r="I188" s="217" t="n">
        <v>71</v>
      </c>
      <c r="J188" s="234" t="n"/>
      <c r="K188" s="234">
        <f>I188*H188*J188</f>
        <v/>
      </c>
      <c r="L188" s="43" t="inlineStr">
        <is>
          <t>试验</t>
        </is>
      </c>
      <c r="M188" s="216">
        <f>VLOOKUP(L188,{"甲级","1.2";"乙级","1.0";"丙级","0.8";"试验","0.1"},2,0)</f>
        <v/>
      </c>
      <c r="N188" s="234">
        <f>K188*M188</f>
        <v/>
      </c>
      <c r="O188" s="234">
        <f>K188+N188</f>
        <v/>
      </c>
      <c r="P188" s="241" t="inlineStr">
        <is>
          <t xml:space="preserve"> 表8.2-1</t>
        </is>
      </c>
      <c r="Q188" s="76" t="n"/>
      <c r="R188" s="77" t="n"/>
      <c r="S188" s="72" t="n"/>
      <c r="T188" s="72" t="n"/>
      <c r="U188" s="72" t="n"/>
      <c r="V188" s="72" t="n"/>
      <c r="W188" s="235" t="n"/>
      <c r="X188" s="72" t="n"/>
      <c r="Y188" s="190" t="n"/>
      <c r="Z188" s="190" t="n"/>
      <c r="AA188" s="190" t="n"/>
      <c r="AB188" s="190" t="n"/>
      <c r="AC188" s="190" t="n"/>
      <c r="AD188" s="236" t="n"/>
      <c r="AE188" s="190" t="n"/>
    </row>
    <row r="189" s="186">
      <c r="A189" s="47" t="n">
        <v>186</v>
      </c>
      <c r="B189" s="204" t="n"/>
      <c r="C189" s="204" t="n"/>
      <c r="D189" s="197" t="n"/>
      <c r="E189" s="54" t="inlineStr">
        <is>
          <t>固结慢剪</t>
        </is>
      </c>
      <c r="F189" s="43" t="n"/>
      <c r="G189" s="92" t="inlineStr">
        <is>
          <t>组</t>
        </is>
      </c>
      <c r="H189" s="212" t="n"/>
      <c r="I189" s="217" t="n">
        <v>99</v>
      </c>
      <c r="J189" s="234" t="n"/>
      <c r="K189" s="234">
        <f>I189*H189*J189</f>
        <v/>
      </c>
      <c r="L189" s="43" t="inlineStr">
        <is>
          <t>试验</t>
        </is>
      </c>
      <c r="M189" s="216">
        <f>VLOOKUP(L189,{"甲级","1.2";"乙级","1.0";"丙级","0.8";"试验","0.1"},2,0)</f>
        <v/>
      </c>
      <c r="N189" s="234">
        <f>K189*M189</f>
        <v/>
      </c>
      <c r="O189" s="234">
        <f>K189+N189</f>
        <v/>
      </c>
      <c r="P189" s="241" t="inlineStr">
        <is>
          <t xml:space="preserve"> 表8.2-1</t>
        </is>
      </c>
      <c r="Q189" s="76" t="n"/>
      <c r="R189" s="77" t="n"/>
      <c r="S189" s="72" t="n"/>
      <c r="T189" s="72" t="n"/>
      <c r="U189" s="72" t="n"/>
      <c r="V189" s="72" t="n"/>
      <c r="W189" s="235" t="n"/>
      <c r="X189" s="72" t="n"/>
      <c r="Y189" s="190" t="n"/>
      <c r="Z189" s="190" t="n"/>
      <c r="AA189" s="190" t="n"/>
      <c r="AB189" s="190" t="n"/>
      <c r="AC189" s="190" t="n"/>
      <c r="AD189" s="236" t="n"/>
      <c r="AE189" s="190" t="n"/>
    </row>
    <row r="190" s="186">
      <c r="A190" s="43" t="n">
        <v>187</v>
      </c>
      <c r="B190" s="204" t="n"/>
      <c r="C190" s="204" t="n"/>
      <c r="D190" s="87" t="inlineStr">
        <is>
          <t>黄土
湿陷性</t>
        </is>
      </c>
      <c r="E190" s="92" t="inlineStr">
        <is>
          <t>湿陷系数</t>
        </is>
      </c>
      <c r="F190" s="43" t="n"/>
      <c r="G190" s="92" t="inlineStr">
        <is>
          <t>组</t>
        </is>
      </c>
      <c r="H190" s="212" t="n"/>
      <c r="I190" s="217" t="n">
        <v>53</v>
      </c>
      <c r="J190" s="234" t="n"/>
      <c r="K190" s="234">
        <f>I190*H190*J190</f>
        <v/>
      </c>
      <c r="L190" s="43" t="inlineStr">
        <is>
          <t>试验</t>
        </is>
      </c>
      <c r="M190" s="216">
        <f>VLOOKUP(L190,{"甲级","1.2";"乙级","1.0";"丙级","0.8";"试验","0.1"},2,0)</f>
        <v/>
      </c>
      <c r="N190" s="234">
        <f>K190*M190</f>
        <v/>
      </c>
      <c r="O190" s="234">
        <f>K190+N190</f>
        <v/>
      </c>
      <c r="P190" s="241" t="inlineStr">
        <is>
          <t xml:space="preserve"> 表8.2-1</t>
        </is>
      </c>
      <c r="Q190" s="76" t="n"/>
      <c r="R190" s="77" t="n"/>
      <c r="S190" s="72" t="n"/>
      <c r="T190" s="72" t="n"/>
      <c r="U190" s="72" t="n"/>
      <c r="V190" s="72" t="n"/>
      <c r="W190" s="235" t="n"/>
      <c r="X190" s="72" t="n"/>
      <c r="Y190" s="190" t="n"/>
      <c r="Z190" s="190" t="n"/>
      <c r="AA190" s="190" t="n"/>
      <c r="AB190" s="190" t="n"/>
      <c r="AC190" s="190" t="n"/>
      <c r="AD190" s="236" t="n"/>
      <c r="AE190" s="190" t="n"/>
    </row>
    <row r="191" s="186">
      <c r="A191" s="47" t="n">
        <v>188</v>
      </c>
      <c r="B191" s="204" t="n"/>
      <c r="C191" s="204" t="n"/>
      <c r="D191" s="204" t="n"/>
      <c r="E191" s="197" t="n"/>
      <c r="F191" s="54" t="inlineStr">
        <is>
          <t>自重</t>
        </is>
      </c>
      <c r="G191" s="92" t="inlineStr">
        <is>
          <t>组</t>
        </is>
      </c>
      <c r="H191" s="212" t="n"/>
      <c r="I191" s="217" t="n">
        <v>23</v>
      </c>
      <c r="J191" s="234" t="n"/>
      <c r="K191" s="234">
        <f>I191*H191*J191</f>
        <v/>
      </c>
      <c r="L191" s="43" t="inlineStr">
        <is>
          <t>试验</t>
        </is>
      </c>
      <c r="M191" s="216">
        <f>VLOOKUP(L191,{"甲级","1.2";"乙级","1.0";"丙级","0.8";"试验","0.1"},2,0)</f>
        <v/>
      </c>
      <c r="N191" s="234">
        <f>K191*M191</f>
        <v/>
      </c>
      <c r="O191" s="234">
        <f>K191+N191</f>
        <v/>
      </c>
      <c r="P191" s="241" t="inlineStr">
        <is>
          <t xml:space="preserve"> 表8.2-1</t>
        </is>
      </c>
      <c r="Q191" s="76" t="n"/>
      <c r="R191" s="77" t="n"/>
      <c r="S191" s="72" t="n"/>
      <c r="T191" s="72" t="n"/>
      <c r="U191" s="72" t="n"/>
      <c r="V191" s="72" t="n"/>
      <c r="W191" s="235" t="n"/>
      <c r="X191" s="72" t="n"/>
      <c r="Y191" s="190" t="n"/>
      <c r="Z191" s="190" t="n"/>
      <c r="AA191" s="190" t="n"/>
      <c r="AB191" s="190" t="n"/>
      <c r="AC191" s="190" t="n"/>
      <c r="AD191" s="236" t="n"/>
      <c r="AE191" s="190" t="n"/>
    </row>
    <row r="192" s="186">
      <c r="A192" s="43" t="n">
        <v>189</v>
      </c>
      <c r="B192" s="204" t="n"/>
      <c r="C192" s="204" t="n"/>
      <c r="D192" s="204" t="n"/>
      <c r="E192" s="92" t="inlineStr">
        <is>
          <t>自重起始压力</t>
        </is>
      </c>
      <c r="F192" s="54" t="inlineStr">
        <is>
          <t>单线法</t>
        </is>
      </c>
      <c r="G192" s="54" t="inlineStr">
        <is>
          <t>5环刀</t>
        </is>
      </c>
      <c r="H192" s="212" t="n"/>
      <c r="I192" s="217" t="n">
        <v>137</v>
      </c>
      <c r="J192" s="234" t="n"/>
      <c r="K192" s="234">
        <f>I192*H192*J192</f>
        <v/>
      </c>
      <c r="L192" s="43" t="inlineStr">
        <is>
          <t>试验</t>
        </is>
      </c>
      <c r="M192" s="216">
        <f>VLOOKUP(L192,{"甲级","1.2";"乙级","1.0";"丙级","0.8";"试验","0.1"},2,0)</f>
        <v/>
      </c>
      <c r="N192" s="234">
        <f>K192*M192</f>
        <v/>
      </c>
      <c r="O192" s="234">
        <f>K192+N192</f>
        <v/>
      </c>
      <c r="P192" s="241" t="inlineStr">
        <is>
          <t xml:space="preserve"> 表8.2-1</t>
        </is>
      </c>
      <c r="Q192" s="76" t="n"/>
      <c r="R192" s="77" t="n"/>
      <c r="S192" s="72" t="n"/>
      <c r="T192" s="72" t="n"/>
      <c r="U192" s="72" t="n"/>
      <c r="V192" s="72" t="n"/>
      <c r="W192" s="235" t="n"/>
      <c r="X192" s="72" t="n"/>
      <c r="Y192" s="190" t="n"/>
      <c r="Z192" s="190" t="n"/>
      <c r="AA192" s="190" t="n"/>
      <c r="AB192" s="190" t="n"/>
      <c r="AC192" s="190" t="n"/>
      <c r="AD192" s="236" t="n"/>
      <c r="AE192" s="190" t="n"/>
    </row>
    <row r="193" s="186">
      <c r="A193" s="47" t="n">
        <v>190</v>
      </c>
      <c r="B193" s="204" t="n"/>
      <c r="C193" s="204" t="n"/>
      <c r="D193" s="197" t="n"/>
      <c r="E193" s="197" t="n"/>
      <c r="F193" s="54" t="inlineStr">
        <is>
          <t>双线法</t>
        </is>
      </c>
      <c r="G193" s="54" t="inlineStr">
        <is>
          <t>2环刀</t>
        </is>
      </c>
      <c r="H193" s="212" t="n"/>
      <c r="I193" s="217" t="n">
        <v>56</v>
      </c>
      <c r="J193" s="234" t="n"/>
      <c r="K193" s="234">
        <f>I193*H193*J193</f>
        <v/>
      </c>
      <c r="L193" s="43" t="inlineStr">
        <is>
          <t>试验</t>
        </is>
      </c>
      <c r="M193" s="216">
        <f>VLOOKUP(L193,{"甲级","1.2";"乙级","1.0";"丙级","0.8";"试验","0.1"},2,0)</f>
        <v/>
      </c>
      <c r="N193" s="234">
        <f>K193*M193</f>
        <v/>
      </c>
      <c r="O193" s="234">
        <f>K193+N193</f>
        <v/>
      </c>
      <c r="P193" s="241" t="inlineStr">
        <is>
          <t xml:space="preserve"> 表8.2-1</t>
        </is>
      </c>
      <c r="Q193" s="76" t="n"/>
      <c r="R193" s="77" t="n"/>
      <c r="S193" s="72" t="n"/>
      <c r="T193" s="72" t="n"/>
      <c r="U193" s="72" t="n"/>
      <c r="V193" s="72" t="n"/>
      <c r="W193" s="235" t="n"/>
      <c r="X193" s="72" t="n"/>
      <c r="Y193" s="190" t="n"/>
      <c r="Z193" s="190" t="n"/>
      <c r="AA193" s="190" t="n"/>
      <c r="AB193" s="190" t="n"/>
      <c r="AC193" s="190" t="n"/>
      <c r="AD193" s="236" t="n"/>
      <c r="AE193" s="190" t="n"/>
    </row>
    <row r="194" s="186">
      <c r="A194" s="43" t="n">
        <v>191</v>
      </c>
      <c r="B194" s="204" t="n"/>
      <c r="C194" s="204" t="n"/>
      <c r="D194" s="53" t="inlineStr">
        <is>
          <t>膨胀试验</t>
        </is>
      </c>
      <c r="E194" s="43" t="inlineStr">
        <is>
          <t>自由膨胀率</t>
        </is>
      </c>
      <c r="F194" s="43" t="n"/>
      <c r="G194" s="212" t="inlineStr">
        <is>
          <t>件</t>
        </is>
      </c>
      <c r="H194" s="212" t="n"/>
      <c r="I194" s="233" t="n">
        <v>14</v>
      </c>
      <c r="J194" s="234" t="n"/>
      <c r="K194" s="234">
        <f>I194*H194*J194</f>
        <v/>
      </c>
      <c r="L194" s="43" t="inlineStr">
        <is>
          <t>试验</t>
        </is>
      </c>
      <c r="M194" s="216">
        <f>VLOOKUP(L194,{"甲级","1.2";"乙级","1.0";"丙级","0.8";"试验","0.1"},2,0)</f>
        <v/>
      </c>
      <c r="N194" s="234">
        <f>K194*M194</f>
        <v/>
      </c>
      <c r="O194" s="234">
        <f>K194+N194</f>
        <v/>
      </c>
      <c r="P194" s="241" t="inlineStr">
        <is>
          <t xml:space="preserve"> 表8.2-1</t>
        </is>
      </c>
      <c r="Q194" s="76" t="n"/>
      <c r="R194" s="77" t="n"/>
      <c r="S194" s="72" t="n"/>
      <c r="T194" s="72" t="n"/>
      <c r="U194" s="72" t="n"/>
      <c r="V194" s="72" t="n"/>
      <c r="W194" s="235" t="n"/>
      <c r="X194" s="72" t="n"/>
      <c r="Y194" s="190" t="n"/>
      <c r="Z194" s="190" t="n"/>
      <c r="AA194" s="190" t="n"/>
      <c r="AB194" s="190" t="n"/>
      <c r="AC194" s="190" t="n"/>
      <c r="AD194" s="236" t="n"/>
      <c r="AE194" s="190" t="n"/>
    </row>
    <row r="195" s="186">
      <c r="A195" s="47" t="n">
        <v>192</v>
      </c>
      <c r="B195" s="204" t="n"/>
      <c r="C195" s="204" t="n"/>
      <c r="D195" s="204" t="n"/>
      <c r="E195" s="43" t="inlineStr">
        <is>
          <t>膨胀率</t>
        </is>
      </c>
      <c r="F195" s="43" t="n"/>
      <c r="G195" s="212" t="inlineStr">
        <is>
          <t>件</t>
        </is>
      </c>
      <c r="H195" s="212" t="n"/>
      <c r="I195" s="233" t="n">
        <v>27</v>
      </c>
      <c r="J195" s="234" t="n"/>
      <c r="K195" s="234">
        <f>I195*H195*J195</f>
        <v/>
      </c>
      <c r="L195" s="43" t="inlineStr">
        <is>
          <t>试验</t>
        </is>
      </c>
      <c r="M195" s="216">
        <f>VLOOKUP(L195,{"甲级","1.2";"乙级","1.0";"丙级","0.8";"试验","0.1"},2,0)</f>
        <v/>
      </c>
      <c r="N195" s="234">
        <f>K195*M195</f>
        <v/>
      </c>
      <c r="O195" s="234">
        <f>K195+N195</f>
        <v/>
      </c>
      <c r="P195" s="241" t="inlineStr">
        <is>
          <t xml:space="preserve"> 表8.2-1</t>
        </is>
      </c>
      <c r="Q195" s="76" t="n"/>
      <c r="R195" s="77" t="n"/>
      <c r="S195" s="72" t="n"/>
      <c r="T195" s="72" t="n"/>
      <c r="U195" s="72" t="n"/>
      <c r="V195" s="72" t="n"/>
      <c r="W195" s="235" t="n"/>
      <c r="X195" s="72" t="n"/>
      <c r="Y195" s="190" t="n"/>
      <c r="Z195" s="190" t="n"/>
      <c r="AA195" s="190" t="n"/>
      <c r="AB195" s="190" t="n"/>
      <c r="AC195" s="190" t="n"/>
      <c r="AD195" s="236" t="n"/>
      <c r="AE195" s="190" t="n"/>
    </row>
    <row r="196" s="186">
      <c r="A196" s="43" t="n">
        <v>193</v>
      </c>
      <c r="B196" s="204" t="n"/>
      <c r="C196" s="204" t="n"/>
      <c r="D196" s="204" t="n"/>
      <c r="E196" s="43" t="inlineStr">
        <is>
          <t>膨胀力</t>
        </is>
      </c>
      <c r="F196" s="43" t="n"/>
      <c r="G196" s="212" t="inlineStr">
        <is>
          <t>件</t>
        </is>
      </c>
      <c r="H196" s="212" t="n"/>
      <c r="I196" s="233" t="n">
        <v>36</v>
      </c>
      <c r="J196" s="234" t="n"/>
      <c r="K196" s="234">
        <f>I196*H196*J196</f>
        <v/>
      </c>
      <c r="L196" s="43" t="inlineStr">
        <is>
          <t>试验</t>
        </is>
      </c>
      <c r="M196" s="216">
        <f>VLOOKUP(L196,{"甲级","1.2";"乙级","1.0";"丙级","0.8";"试验","0.1"},2,0)</f>
        <v/>
      </c>
      <c r="N196" s="234">
        <f>K196*M196</f>
        <v/>
      </c>
      <c r="O196" s="234">
        <f>K196+N196</f>
        <v/>
      </c>
      <c r="P196" s="241" t="inlineStr">
        <is>
          <t xml:space="preserve"> 表8.2-1</t>
        </is>
      </c>
      <c r="Q196" s="76" t="n"/>
      <c r="R196" s="77" t="n"/>
      <c r="S196" s="72" t="n"/>
      <c r="T196" s="72" t="n"/>
      <c r="U196" s="72" t="n"/>
      <c r="V196" s="72" t="n"/>
      <c r="W196" s="235" t="n"/>
      <c r="X196" s="72" t="n"/>
      <c r="Y196" s="190" t="n"/>
      <c r="Z196" s="190" t="n"/>
      <c r="AA196" s="190" t="n"/>
      <c r="AB196" s="190" t="n"/>
      <c r="AC196" s="190" t="n"/>
      <c r="AD196" s="236" t="n"/>
      <c r="AE196" s="190" t="n"/>
    </row>
    <row r="197" s="186">
      <c r="A197" s="47" t="n">
        <v>194</v>
      </c>
      <c r="B197" s="204" t="n"/>
      <c r="C197" s="204" t="n"/>
      <c r="D197" s="197" t="n"/>
      <c r="E197" s="43" t="inlineStr">
        <is>
          <t>收缩系数</t>
        </is>
      </c>
      <c r="F197" s="43" t="n"/>
      <c r="G197" s="212" t="inlineStr">
        <is>
          <t>件</t>
        </is>
      </c>
      <c r="H197" s="212" t="n"/>
      <c r="I197" s="233" t="n">
        <v>56</v>
      </c>
      <c r="J197" s="234" t="n"/>
      <c r="K197" s="234">
        <f>I197*H197*J197</f>
        <v/>
      </c>
      <c r="L197" s="43" t="inlineStr">
        <is>
          <t>试验</t>
        </is>
      </c>
      <c r="M197" s="216">
        <f>VLOOKUP(L197,{"甲级","1.2";"乙级","1.0";"丙级","0.8";"试验","0.1"},2,0)</f>
        <v/>
      </c>
      <c r="N197" s="234">
        <f>K197*M197</f>
        <v/>
      </c>
      <c r="O197" s="234">
        <f>K197+N197</f>
        <v/>
      </c>
      <c r="P197" s="241" t="inlineStr">
        <is>
          <t xml:space="preserve"> 表8.2-1</t>
        </is>
      </c>
      <c r="Q197" s="76" t="n"/>
      <c r="R197" s="77" t="n"/>
      <c r="S197" s="72" t="n"/>
      <c r="T197" s="72" t="n"/>
      <c r="U197" s="72" t="n"/>
      <c r="V197" s="72" t="n"/>
      <c r="W197" s="235" t="n"/>
      <c r="X197" s="72" t="n"/>
      <c r="Y197" s="190" t="n"/>
      <c r="Z197" s="190" t="n"/>
      <c r="AA197" s="190" t="n"/>
      <c r="AB197" s="190" t="n"/>
      <c r="AC197" s="190" t="n"/>
      <c r="AD197" s="236" t="n"/>
      <c r="AE197" s="190" t="n"/>
    </row>
    <row r="198" s="186">
      <c r="A198" s="43" t="n">
        <v>195</v>
      </c>
      <c r="B198" s="204" t="n"/>
      <c r="C198" s="204" t="n"/>
      <c r="D198" s="43" t="inlineStr">
        <is>
          <t>土腐蚀试验</t>
        </is>
      </c>
      <c r="E198" s="196" t="n"/>
      <c r="F198" s="43" t="n"/>
      <c r="G198" s="212" t="inlineStr">
        <is>
          <t>件</t>
        </is>
      </c>
      <c r="H198" s="212" t="n"/>
      <c r="I198" s="233" t="n">
        <v>220</v>
      </c>
      <c r="J198" s="234" t="n"/>
      <c r="K198" s="234">
        <f>I198*H198*J198</f>
        <v/>
      </c>
      <c r="L198" s="43" t="inlineStr">
        <is>
          <t>试验</t>
        </is>
      </c>
      <c r="M198" s="216">
        <f>VLOOKUP(L198,{"甲级","1.2";"乙级","1.0";"丙级","0.8";"试验","0.1"},2,0)</f>
        <v/>
      </c>
      <c r="N198" s="234">
        <f>K198*M198</f>
        <v/>
      </c>
      <c r="O198" s="234">
        <f>K198+N198</f>
        <v/>
      </c>
      <c r="P198" s="241" t="inlineStr">
        <is>
          <t xml:space="preserve"> 表8.3-1</t>
        </is>
      </c>
      <c r="Q198" s="76" t="n"/>
      <c r="R198" s="77" t="n"/>
      <c r="S198" s="72" t="n"/>
      <c r="T198" s="72" t="n"/>
      <c r="U198" s="72" t="n"/>
      <c r="V198" s="72" t="n"/>
      <c r="W198" s="235" t="n"/>
      <c r="X198" s="72" t="n"/>
      <c r="Y198" s="190" t="n"/>
      <c r="Z198" s="190" t="n"/>
      <c r="AA198" s="190" t="n"/>
      <c r="AB198" s="190" t="n"/>
      <c r="AC198" s="190" t="n"/>
      <c r="AD198" s="236" t="n"/>
      <c r="AE198" s="190" t="n"/>
    </row>
    <row r="199" s="186">
      <c r="A199" s="47" t="n">
        <v>196</v>
      </c>
      <c r="B199" s="204" t="n"/>
      <c r="C199" s="197" t="n"/>
      <c r="D199" s="43" t="inlineStr">
        <is>
          <t>水质简分析</t>
        </is>
      </c>
      <c r="E199" s="196" t="n"/>
      <c r="F199" s="43" t="n"/>
      <c r="G199" s="212" t="inlineStr">
        <is>
          <t>件</t>
        </is>
      </c>
      <c r="H199" s="212" t="n"/>
      <c r="I199" s="233" t="n">
        <v>220</v>
      </c>
      <c r="J199" s="234" t="n"/>
      <c r="K199" s="234">
        <f>I199*H199*J199</f>
        <v/>
      </c>
      <c r="L199" s="43" t="inlineStr">
        <is>
          <t>试验</t>
        </is>
      </c>
      <c r="M199" s="216">
        <f>VLOOKUP(L199,{"甲级","1.2";"乙级","1.0";"丙级","0.8";"试验","0.1"},2,0)</f>
        <v/>
      </c>
      <c r="N199" s="234">
        <f>K199*M199</f>
        <v/>
      </c>
      <c r="O199" s="234">
        <f>K199+N199</f>
        <v/>
      </c>
      <c r="P199" s="241" t="inlineStr">
        <is>
          <t xml:space="preserve"> 表8.3-1</t>
        </is>
      </c>
      <c r="Q199" s="76" t="n"/>
      <c r="R199" s="77" t="n"/>
      <c r="S199" s="72" t="n"/>
      <c r="T199" s="72" t="n"/>
      <c r="U199" s="72" t="n"/>
      <c r="V199" s="72" t="n"/>
      <c r="W199" s="235" t="n"/>
      <c r="X199" s="72" t="n"/>
      <c r="Y199" s="190" t="n"/>
      <c r="Z199" s="190" t="n"/>
      <c r="AA199" s="190" t="n"/>
      <c r="AB199" s="190" t="n"/>
      <c r="AC199" s="190" t="n"/>
      <c r="AD199" s="236" t="n"/>
      <c r="AE199" s="190" t="n"/>
    </row>
    <row r="200" s="186">
      <c r="A200" s="43" t="n">
        <v>197</v>
      </c>
      <c r="B200" s="204" t="n"/>
      <c r="C200" s="43" t="n"/>
      <c r="D200" s="43" t="inlineStr">
        <is>
          <t>室内试验</t>
        </is>
      </c>
      <c r="E200" s="196" t="n"/>
      <c r="F200" s="43" t="n"/>
      <c r="G200" s="212" t="inlineStr">
        <is>
          <t>项</t>
        </is>
      </c>
      <c r="H200" s="212" t="n">
        <v>1</v>
      </c>
      <c r="I200" s="233" t="n">
        <v>30000</v>
      </c>
      <c r="J200" s="234" t="n">
        <v>1</v>
      </c>
      <c r="K200" s="234">
        <f>I200*H200*J200</f>
        <v/>
      </c>
      <c r="L200" s="43" t="inlineStr">
        <is>
          <t>试验</t>
        </is>
      </c>
      <c r="M200" s="216" t="n">
        <v>0.1</v>
      </c>
      <c r="N200" s="234">
        <f>K200*M200</f>
        <v/>
      </c>
      <c r="O200" s="234">
        <f>H200*J200*I200*(1+M200)</f>
        <v/>
      </c>
      <c r="P200" s="241" t="n"/>
      <c r="Q200" s="76" t="n"/>
      <c r="R200" s="77" t="n"/>
      <c r="S200" s="72" t="n"/>
      <c r="T200" s="72" t="n"/>
      <c r="U200" s="72" t="n"/>
      <c r="V200" s="72" t="n"/>
      <c r="W200" s="235" t="n"/>
      <c r="X200" s="72" t="n"/>
      <c r="Y200" s="190" t="n"/>
      <c r="Z200" s="190" t="n"/>
      <c r="AA200" s="190" t="n"/>
      <c r="AB200" s="190" t="n"/>
      <c r="AC200" s="190" t="n"/>
      <c r="AD200" s="236" t="n"/>
      <c r="AE200" s="190" t="n"/>
    </row>
    <row r="201" s="186">
      <c r="A201" s="47" t="n">
        <v>198</v>
      </c>
      <c r="B201" s="204" t="n"/>
      <c r="C201" s="43" t="inlineStr">
        <is>
          <t>岩石试验</t>
        </is>
      </c>
      <c r="D201" s="43" t="inlineStr">
        <is>
          <t>岩石加工</t>
        </is>
      </c>
      <c r="E201" s="43" t="inlineStr">
        <is>
          <t>Φ50～70岩芯</t>
        </is>
      </c>
      <c r="F201" s="43" t="n"/>
      <c r="G201" s="212" t="inlineStr">
        <is>
          <t>块</t>
        </is>
      </c>
      <c r="H201" s="212" t="n"/>
      <c r="I201" s="233" t="n">
        <v>19</v>
      </c>
      <c r="J201" s="234" t="n"/>
      <c r="K201" s="234">
        <f>I201*H201*J201</f>
        <v/>
      </c>
      <c r="L201" s="43" t="inlineStr">
        <is>
          <t>试验</t>
        </is>
      </c>
      <c r="M201" s="216">
        <f>VLOOKUP(L201,{"甲级","1.2";"乙级","1.0";"丙级","0.8";"试验","0.1"},2,0)</f>
        <v/>
      </c>
      <c r="N201" s="234">
        <f>K201*M201</f>
        <v/>
      </c>
      <c r="O201" s="234">
        <f>K201+N201</f>
        <v/>
      </c>
      <c r="P201" s="241" t="inlineStr">
        <is>
          <t xml:space="preserve"> 表8.4-1</t>
        </is>
      </c>
      <c r="Q201" s="76" t="n"/>
      <c r="R201" s="77" t="n"/>
      <c r="S201" s="72" t="n"/>
      <c r="T201" s="72" t="n"/>
      <c r="U201" s="72" t="n"/>
      <c r="V201" s="72" t="n"/>
      <c r="W201" s="235" t="n"/>
      <c r="X201" s="72" t="n"/>
      <c r="Y201" s="190" t="n"/>
      <c r="Z201" s="190" t="n"/>
      <c r="AA201" s="190" t="n"/>
      <c r="AB201" s="190" t="n"/>
      <c r="AC201" s="190" t="n"/>
      <c r="AD201" s="236" t="n"/>
      <c r="AE201" s="190" t="n"/>
    </row>
    <row r="202" s="186">
      <c r="A202" s="43" t="n">
        <v>199</v>
      </c>
      <c r="B202" s="204" t="n"/>
      <c r="C202" s="204" t="n"/>
      <c r="D202" s="43" t="inlineStr">
        <is>
          <t>含水率</t>
        </is>
      </c>
      <c r="E202" s="43" t="n"/>
      <c r="F202" s="43" t="n"/>
      <c r="G202" s="212" t="inlineStr">
        <is>
          <t>件</t>
        </is>
      </c>
      <c r="H202" s="212" t="n"/>
      <c r="I202" s="233" t="n">
        <v>14</v>
      </c>
      <c r="J202" s="234" t="n"/>
      <c r="K202" s="234">
        <f>I202*H202*J202</f>
        <v/>
      </c>
      <c r="L202" s="43" t="inlineStr">
        <is>
          <t>试验</t>
        </is>
      </c>
      <c r="M202" s="216">
        <f>VLOOKUP(L202,{"甲级","1.2";"乙级","1.0";"丙级","0.8";"试验","0.1"},2,0)</f>
        <v/>
      </c>
      <c r="N202" s="234">
        <f>K202*M202</f>
        <v/>
      </c>
      <c r="O202" s="234">
        <f>K202+N202</f>
        <v/>
      </c>
      <c r="P202" s="241" t="inlineStr">
        <is>
          <t xml:space="preserve"> 表8.4-1</t>
        </is>
      </c>
      <c r="Q202" s="76" t="n"/>
      <c r="R202" s="77" t="n"/>
      <c r="S202" s="72" t="n"/>
      <c r="T202" s="72" t="n"/>
      <c r="U202" s="72" t="n"/>
      <c r="V202" s="72" t="n"/>
      <c r="W202" s="235" t="n"/>
      <c r="X202" s="72" t="n"/>
      <c r="Y202" s="190" t="n"/>
      <c r="Z202" s="190" t="n"/>
      <c r="AA202" s="190" t="n"/>
      <c r="AB202" s="190" t="n"/>
      <c r="AC202" s="190" t="n"/>
      <c r="AD202" s="236" t="n"/>
      <c r="AE202" s="190" t="n"/>
    </row>
    <row r="203" s="186">
      <c r="A203" s="47" t="n">
        <v>200</v>
      </c>
      <c r="B203" s="204" t="n"/>
      <c r="C203" s="204" t="n"/>
      <c r="D203" s="43" t="inlineStr">
        <is>
          <t>块体密度</t>
        </is>
      </c>
      <c r="E203" s="43" t="inlineStr">
        <is>
          <t>蜡封法</t>
        </is>
      </c>
      <c r="F203" s="43" t="n"/>
      <c r="G203" s="212" t="inlineStr">
        <is>
          <t>件</t>
        </is>
      </c>
      <c r="H203" s="212" t="n"/>
      <c r="I203" s="233" t="n">
        <v>18</v>
      </c>
      <c r="J203" s="234" t="n"/>
      <c r="K203" s="234">
        <f>I203*H203*J203</f>
        <v/>
      </c>
      <c r="L203" s="43" t="inlineStr">
        <is>
          <t>试验</t>
        </is>
      </c>
      <c r="M203" s="216">
        <f>VLOOKUP(L203,{"甲级","1.2";"乙级","1.0";"丙级","0.8";"试验","0.1"},2,0)</f>
        <v/>
      </c>
      <c r="N203" s="234">
        <f>K203*M203</f>
        <v/>
      </c>
      <c r="O203" s="234">
        <f>K203+N203</f>
        <v/>
      </c>
      <c r="P203" s="241" t="inlineStr">
        <is>
          <t xml:space="preserve"> 表8.4-1</t>
        </is>
      </c>
      <c r="Q203" s="76" t="n"/>
      <c r="R203" s="77" t="n"/>
      <c r="S203" s="72" t="n"/>
      <c r="T203" s="72" t="n"/>
      <c r="U203" s="72" t="n"/>
      <c r="V203" s="72" t="n"/>
      <c r="W203" s="235" t="n"/>
      <c r="X203" s="72" t="n"/>
      <c r="Y203" s="190" t="n"/>
      <c r="Z203" s="190" t="n"/>
      <c r="AA203" s="190" t="n"/>
      <c r="AB203" s="190" t="n"/>
      <c r="AC203" s="190" t="n"/>
      <c r="AD203" s="236" t="n"/>
      <c r="AE203" s="190" t="n"/>
    </row>
    <row r="204" s="186">
      <c r="A204" s="43" t="n">
        <v>201</v>
      </c>
      <c r="B204" s="204" t="n"/>
      <c r="C204" s="204" t="n"/>
      <c r="D204" s="43" t="inlineStr">
        <is>
          <t>单轴抗压强度</t>
        </is>
      </c>
      <c r="E204" s="54" t="inlineStr">
        <is>
          <t>天然</t>
        </is>
      </c>
      <c r="F204" s="43" t="inlineStr">
        <is>
          <t>3块</t>
        </is>
      </c>
      <c r="G204" s="212" t="inlineStr">
        <is>
          <t>组</t>
        </is>
      </c>
      <c r="H204" s="212" t="n"/>
      <c r="I204" s="233" t="n">
        <v>47</v>
      </c>
      <c r="J204" s="234" t="n"/>
      <c r="K204" s="234">
        <f>I204*H204*J204</f>
        <v/>
      </c>
      <c r="L204" s="43" t="inlineStr">
        <is>
          <t>试验</t>
        </is>
      </c>
      <c r="M204" s="216">
        <f>VLOOKUP(L204,{"甲级","1.2";"乙级","1.0";"丙级","0.8";"试验","0.1"},2,0)</f>
        <v/>
      </c>
      <c r="N204" s="234">
        <f>K204*M204</f>
        <v/>
      </c>
      <c r="O204" s="234">
        <f>K204+N204</f>
        <v/>
      </c>
      <c r="P204" s="241" t="inlineStr">
        <is>
          <t xml:space="preserve"> 表8.4-1</t>
        </is>
      </c>
      <c r="Q204" s="76" t="n"/>
      <c r="R204" s="77" t="n"/>
      <c r="S204" s="72" t="n"/>
      <c r="T204" s="72" t="n"/>
      <c r="U204" s="72" t="n"/>
      <c r="V204" s="72" t="n"/>
      <c r="W204" s="235" t="n"/>
      <c r="X204" s="72" t="n"/>
      <c r="Y204" s="190" t="n"/>
      <c r="Z204" s="190" t="n"/>
      <c r="AA204" s="190" t="n"/>
      <c r="AB204" s="190" t="n"/>
      <c r="AC204" s="190" t="n"/>
      <c r="AD204" s="236" t="n"/>
      <c r="AE204" s="190" t="n"/>
    </row>
    <row r="205" s="186">
      <c r="A205" s="47" t="n">
        <v>202</v>
      </c>
      <c r="B205" s="204" t="n"/>
      <c r="C205" s="204" t="n"/>
      <c r="D205" s="197" t="n"/>
      <c r="E205" s="54" t="inlineStr">
        <is>
          <t>饱和</t>
        </is>
      </c>
      <c r="F205" s="43" t="inlineStr">
        <is>
          <t>3块</t>
        </is>
      </c>
      <c r="G205" s="212" t="inlineStr">
        <is>
          <t>组</t>
        </is>
      </c>
      <c r="H205" s="212" t="n"/>
      <c r="I205" s="233" t="n">
        <v>70</v>
      </c>
      <c r="J205" s="234" t="n"/>
      <c r="K205" s="234">
        <f>I205*H205*J205</f>
        <v/>
      </c>
      <c r="L205" s="43" t="inlineStr">
        <is>
          <t>试验</t>
        </is>
      </c>
      <c r="M205" s="216">
        <f>VLOOKUP(L205,{"甲级","1.2";"乙级","1.0";"丙级","0.8";"试验","0.1"},2,0)</f>
        <v/>
      </c>
      <c r="N205" s="234">
        <f>K205*M205</f>
        <v/>
      </c>
      <c r="O205" s="234">
        <f>K205+N205</f>
        <v/>
      </c>
      <c r="P205" s="241" t="inlineStr">
        <is>
          <t xml:space="preserve"> 表8.4-1</t>
        </is>
      </c>
      <c r="Q205" s="76" t="n"/>
      <c r="R205" s="77" t="n"/>
      <c r="S205" s="72" t="n"/>
      <c r="T205" s="72" t="n"/>
      <c r="U205" s="72" t="n"/>
      <c r="V205" s="72" t="n"/>
      <c r="W205" s="235" t="n"/>
      <c r="X205" s="72" t="n"/>
      <c r="Y205" s="190" t="n"/>
      <c r="Z205" s="190" t="n"/>
      <c r="AA205" s="190" t="n"/>
      <c r="AB205" s="190" t="n"/>
      <c r="AC205" s="190" t="n"/>
      <c r="AD205" s="236" t="n"/>
      <c r="AE205" s="190" t="n"/>
    </row>
    <row r="206" s="186">
      <c r="A206" s="43" t="n">
        <v>203</v>
      </c>
      <c r="B206" s="204" t="n"/>
      <c r="C206" s="204" t="n"/>
      <c r="D206" s="43" t="inlineStr">
        <is>
          <t>直剪</t>
        </is>
      </c>
      <c r="E206" s="43" t="inlineStr">
        <is>
          <t>岩块</t>
        </is>
      </c>
      <c r="F206" s="43" t="inlineStr">
        <is>
          <t>5块</t>
        </is>
      </c>
      <c r="G206" s="212" t="inlineStr">
        <is>
          <t>组</t>
        </is>
      </c>
      <c r="H206" s="212" t="n"/>
      <c r="I206" s="217" t="n">
        <v>269</v>
      </c>
      <c r="J206" s="234" t="n"/>
      <c r="K206" s="234">
        <f>I206*H206*J206</f>
        <v/>
      </c>
      <c r="L206" s="43" t="inlineStr">
        <is>
          <t>试验</t>
        </is>
      </c>
      <c r="M206" s="216">
        <f>VLOOKUP(L206,{"甲级","1.2";"乙级","1.0";"丙级","0.8";"试验","0.1"},2,0)</f>
        <v/>
      </c>
      <c r="N206" s="234">
        <f>K206*M206</f>
        <v/>
      </c>
      <c r="O206" s="234">
        <f>K206+N206</f>
        <v/>
      </c>
      <c r="P206" s="241" t="inlineStr">
        <is>
          <t xml:space="preserve"> 表8.4-1</t>
        </is>
      </c>
      <c r="Q206" s="76" t="n"/>
      <c r="R206" s="77" t="n"/>
      <c r="S206" s="72" t="n"/>
      <c r="T206" s="72" t="n"/>
      <c r="U206" s="72" t="n"/>
      <c r="V206" s="72" t="n"/>
      <c r="W206" s="235" t="n"/>
      <c r="X206" s="72" t="n"/>
      <c r="Y206" s="190" t="n"/>
      <c r="Z206" s="190" t="n"/>
      <c r="AA206" s="190" t="n"/>
      <c r="AB206" s="190" t="n"/>
      <c r="AC206" s="190" t="n"/>
      <c r="AD206" s="236" t="n"/>
      <c r="AE206" s="190" t="n"/>
    </row>
    <row r="207" s="186">
      <c r="A207" s="47" t="n">
        <v>204</v>
      </c>
      <c r="B207" s="204" t="n"/>
      <c r="C207" s="204" t="n"/>
      <c r="D207" s="197" t="n"/>
      <c r="E207" s="43" t="inlineStr">
        <is>
          <t>结构面</t>
        </is>
      </c>
      <c r="F207" s="43" t="inlineStr">
        <is>
          <t>5块</t>
        </is>
      </c>
      <c r="G207" s="212" t="inlineStr">
        <is>
          <t>组</t>
        </is>
      </c>
      <c r="H207" s="212" t="n"/>
      <c r="I207" s="217" t="n">
        <v>289</v>
      </c>
      <c r="J207" s="234" t="n"/>
      <c r="K207" s="234">
        <f>I207*H207*J207</f>
        <v/>
      </c>
      <c r="L207" s="43" t="inlineStr">
        <is>
          <t>试验</t>
        </is>
      </c>
      <c r="M207" s="216">
        <f>VLOOKUP(L207,{"甲级","1.2";"乙级","1.0";"丙级","0.8";"试验","0.1"},2,0)</f>
        <v/>
      </c>
      <c r="N207" s="234">
        <f>K207*M207</f>
        <v/>
      </c>
      <c r="O207" s="234">
        <f>K207+N207</f>
        <v/>
      </c>
      <c r="P207" s="241" t="inlineStr">
        <is>
          <t xml:space="preserve"> 表8.4-1</t>
        </is>
      </c>
      <c r="Q207" s="76" t="n"/>
      <c r="R207" s="77" t="n"/>
      <c r="S207" s="72" t="n"/>
      <c r="T207" s="72" t="n"/>
      <c r="U207" s="72" t="n"/>
      <c r="V207" s="72" t="n"/>
      <c r="W207" s="235" t="n"/>
      <c r="X207" s="72" t="n"/>
      <c r="Y207" s="190" t="n"/>
      <c r="Z207" s="190" t="n"/>
      <c r="AA207" s="190" t="n"/>
      <c r="AB207" s="190" t="n"/>
      <c r="AC207" s="190" t="n"/>
      <c r="AD207" s="236" t="n"/>
      <c r="AE207" s="190" t="n"/>
    </row>
    <row r="208" s="186">
      <c r="A208" s="43" t="n">
        <v>205</v>
      </c>
      <c r="B208" s="204" t="n"/>
      <c r="C208" s="204" t="n"/>
      <c r="D208" s="43" t="inlineStr">
        <is>
          <t>点荷载强度</t>
        </is>
      </c>
      <c r="E208" s="196" t="n"/>
      <c r="F208" s="43" t="n"/>
      <c r="G208" s="212" t="inlineStr">
        <is>
          <t>块</t>
        </is>
      </c>
      <c r="H208" s="212" t="n"/>
      <c r="I208" s="233" t="n">
        <v>26</v>
      </c>
      <c r="J208" s="234" t="n"/>
      <c r="K208" s="234">
        <f>I208*H208*J208</f>
        <v/>
      </c>
      <c r="L208" s="43" t="inlineStr">
        <is>
          <t>试验</t>
        </is>
      </c>
      <c r="M208" s="216">
        <f>VLOOKUP(L208,{"甲级","1.2";"乙级","1.0";"丙级","0.8";"试验","0.1"},2,0)</f>
        <v/>
      </c>
      <c r="N208" s="234">
        <f>K208*M208</f>
        <v/>
      </c>
      <c r="O208" s="234">
        <f>K208+N208</f>
        <v/>
      </c>
      <c r="P208" s="241" t="inlineStr">
        <is>
          <t xml:space="preserve"> 表8.4-1</t>
        </is>
      </c>
      <c r="Q208" s="76" t="n"/>
      <c r="R208" s="77" t="n"/>
      <c r="S208" s="72" t="n"/>
      <c r="T208" s="72" t="n"/>
      <c r="U208" s="72" t="n"/>
      <c r="V208" s="72" t="n"/>
      <c r="W208" s="235" t="n"/>
      <c r="X208" s="72" t="n"/>
      <c r="Y208" s="190" t="n"/>
      <c r="Z208" s="190" t="n"/>
      <c r="AA208" s="190" t="n"/>
      <c r="AB208" s="190" t="n"/>
      <c r="AC208" s="190" t="n"/>
      <c r="AD208" s="236" t="n"/>
      <c r="AE208" s="190" t="n"/>
    </row>
    <row r="209" s="186">
      <c r="A209" s="47" t="n">
        <v>206</v>
      </c>
      <c r="B209" s="197" t="n"/>
      <c r="C209" s="197" t="n"/>
      <c r="D209" s="99" t="inlineStr">
        <is>
          <t>薄片鉴定</t>
        </is>
      </c>
      <c r="E209" s="243" t="n"/>
      <c r="F209" s="48" t="n"/>
      <c r="G209" s="239" t="inlineStr">
        <is>
          <t>件</t>
        </is>
      </c>
      <c r="H209" s="212" t="n"/>
      <c r="I209" s="240" t="n">
        <v>52</v>
      </c>
      <c r="J209" s="234" t="n"/>
      <c r="K209" s="234">
        <f>I209*H209*J209</f>
        <v/>
      </c>
      <c r="L209" s="43" t="inlineStr">
        <is>
          <t>试验</t>
        </is>
      </c>
      <c r="M209" s="216">
        <f>VLOOKUP(L209,{"甲级","1.2";"乙级","1.0";"丙级","0.8";"试验","0.1"},2,0)</f>
        <v/>
      </c>
      <c r="N209" s="234">
        <f>K209*M209</f>
        <v/>
      </c>
      <c r="O209" s="234">
        <f>K209+N209</f>
        <v/>
      </c>
      <c r="P209" s="241" t="inlineStr">
        <is>
          <t xml:space="preserve"> 表8.4-1</t>
        </is>
      </c>
      <c r="Q209" s="76" t="n"/>
      <c r="R209" s="77" t="n"/>
      <c r="S209" s="72" t="n"/>
      <c r="T209" s="72" t="n"/>
      <c r="U209" s="72" t="n"/>
      <c r="V209" s="72" t="n"/>
      <c r="W209" s="235" t="n"/>
      <c r="X209" s="72" t="n"/>
      <c r="Y209" s="190" t="n"/>
      <c r="Z209" s="190" t="n"/>
      <c r="AA209" s="190" t="n"/>
      <c r="AB209" s="190" t="n"/>
      <c r="AC209" s="190" t="n"/>
      <c r="AD209" s="236" t="n"/>
      <c r="AE209" s="190" t="n"/>
    </row>
    <row r="210" s="186">
      <c r="A210" s="43" t="inlineStr">
        <is>
          <t>合计</t>
        </is>
      </c>
      <c r="B210" s="195" t="n"/>
      <c r="C210" s="195" t="n"/>
      <c r="D210" s="195" t="n"/>
      <c r="E210" s="195" t="n"/>
      <c r="F210" s="195" t="n"/>
      <c r="G210" s="196" t="n"/>
      <c r="H210" s="212" t="n"/>
      <c r="I210" s="240" t="n"/>
      <c r="J210" s="234" t="n"/>
      <c r="K210" s="247">
        <f>SUM(K5:K209)</f>
        <v/>
      </c>
      <c r="L210" s="94" t="n"/>
      <c r="M210" s="248" t="n"/>
      <c r="N210" s="247">
        <f>SUM(N5:N209)</f>
        <v/>
      </c>
      <c r="O210" s="247">
        <f>SUM(O5:O209)</f>
        <v/>
      </c>
      <c r="P210" s="103" t="n"/>
      <c r="Q210" s="76" t="n"/>
      <c r="R210" s="77" t="n"/>
      <c r="S210" s="195" t="n"/>
      <c r="T210" s="195" t="n"/>
      <c r="U210" s="195" t="n"/>
      <c r="V210" s="196" t="n"/>
      <c r="W210" s="249" t="n"/>
      <c r="X210" s="72" t="n"/>
      <c r="Y210" s="105" t="n"/>
      <c r="Z210" s="195" t="n"/>
      <c r="AA210" s="195" t="n"/>
      <c r="AB210" s="195" t="n"/>
      <c r="AC210" s="196" t="n"/>
      <c r="AD210" s="250" t="n"/>
      <c r="AE210" s="190" t="n"/>
    </row>
  </sheetData>
  <autoFilter ref="A4:XCU210"/>
  <mergeCells count="98">
    <mergeCell ref="C98:C101"/>
    <mergeCell ref="D179:D180"/>
    <mergeCell ref="D115:D118"/>
    <mergeCell ref="D166:F166"/>
    <mergeCell ref="C167:C199"/>
    <mergeCell ref="C123:C124"/>
    <mergeCell ref="C78:C84"/>
    <mergeCell ref="D141:E141"/>
    <mergeCell ref="D110:D114"/>
    <mergeCell ref="D85:D91"/>
    <mergeCell ref="D125:E125"/>
    <mergeCell ref="C68:D69"/>
    <mergeCell ref="D177:D178"/>
    <mergeCell ref="B6:B13"/>
    <mergeCell ref="D46:D63"/>
    <mergeCell ref="Y210:AC210"/>
    <mergeCell ref="D98:E98"/>
    <mergeCell ref="E192:E193"/>
    <mergeCell ref="Q3:Q4"/>
    <mergeCell ref="A210:G210"/>
    <mergeCell ref="D134:D136"/>
    <mergeCell ref="D172:D173"/>
    <mergeCell ref="B70:B74"/>
    <mergeCell ref="R210:V210"/>
    <mergeCell ref="D138:E138"/>
    <mergeCell ref="D204:D205"/>
    <mergeCell ref="D140:E140"/>
    <mergeCell ref="D206:D207"/>
    <mergeCell ref="D198:E198"/>
    <mergeCell ref="C14:C45"/>
    <mergeCell ref="C75:D77"/>
    <mergeCell ref="Y3:AE3"/>
    <mergeCell ref="D126:E126"/>
    <mergeCell ref="D127:D128"/>
    <mergeCell ref="B14:B69"/>
    <mergeCell ref="B3:G3"/>
    <mergeCell ref="D167:E167"/>
    <mergeCell ref="E106:E107"/>
    <mergeCell ref="C64:D67"/>
    <mergeCell ref="D142:E142"/>
    <mergeCell ref="C70:D74"/>
    <mergeCell ref="D119:D122"/>
    <mergeCell ref="D144:E144"/>
    <mergeCell ref="D104:F104"/>
    <mergeCell ref="D14:D45"/>
    <mergeCell ref="H3:K3"/>
    <mergeCell ref="D199:E199"/>
    <mergeCell ref="D183:D186"/>
    <mergeCell ref="C201:C209"/>
    <mergeCell ref="D208:E208"/>
    <mergeCell ref="D78:D84"/>
    <mergeCell ref="Q42:Q43"/>
    <mergeCell ref="C110:C114"/>
    <mergeCell ref="C142:C143"/>
    <mergeCell ref="D139:E139"/>
    <mergeCell ref="D6:D13"/>
    <mergeCell ref="E108:E109"/>
    <mergeCell ref="D129:D133"/>
    <mergeCell ref="D181:D182"/>
    <mergeCell ref="B97:B101"/>
    <mergeCell ref="D145:D165"/>
    <mergeCell ref="D187:D189"/>
    <mergeCell ref="P3:P4"/>
    <mergeCell ref="D99:D101"/>
    <mergeCell ref="D93:D94"/>
    <mergeCell ref="D143:E143"/>
    <mergeCell ref="C137:C141"/>
    <mergeCell ref="C134:C136"/>
    <mergeCell ref="C85:C91"/>
    <mergeCell ref="B104:B166"/>
    <mergeCell ref="L3:N3"/>
    <mergeCell ref="B4:C4"/>
    <mergeCell ref="C46:C63"/>
    <mergeCell ref="C129:C133"/>
    <mergeCell ref="R3:X3"/>
    <mergeCell ref="C145:C165"/>
    <mergeCell ref="D190:D193"/>
    <mergeCell ref="B102:B103"/>
    <mergeCell ref="C6:C13"/>
    <mergeCell ref="E190:E191"/>
    <mergeCell ref="C104:C109"/>
    <mergeCell ref="A1:Q1"/>
    <mergeCell ref="C93:C96"/>
    <mergeCell ref="D95:D96"/>
    <mergeCell ref="C127:C128"/>
    <mergeCell ref="A3:A4"/>
    <mergeCell ref="D175:D176"/>
    <mergeCell ref="D194:D197"/>
    <mergeCell ref="C115:C118"/>
    <mergeCell ref="D200:E200"/>
    <mergeCell ref="B167:B209"/>
    <mergeCell ref="D209:E209"/>
    <mergeCell ref="D137:E137"/>
    <mergeCell ref="C125:C126"/>
    <mergeCell ref="C119:C122"/>
    <mergeCell ref="D123:D124"/>
    <mergeCell ref="B75:B96"/>
    <mergeCell ref="D105:D109"/>
  </mergeCells>
  <dataValidations count="8">
    <dataValidation sqref="F6:F13 F102:F103 F137:F141 L97:L101" showDropDown="0" showInputMessage="1" showErrorMessage="1" allowBlank="1" type="list">
      <formula1>"简单,中等,复杂"</formula1>
    </dataValidation>
    <dataValidation sqref="F14:F58 F64:F69 F78:F84" showDropDown="0" showInputMessage="1" showErrorMessage="1" allowBlank="1" type="list">
      <formula1>"Ⅰ,Ⅱ,Ⅲ,Ⅳ,Ⅴ,Ⅵ"</formula1>
    </dataValidation>
    <dataValidation sqref="F59:F63 F72:F74 F92:F101 F119:F136 F142:F144" showDropDown="0" showInputMessage="1" showErrorMessage="1" allowBlank="1"/>
    <dataValidation sqref="F70:F71" showDropDown="0" showInputMessage="1" showErrorMessage="1" allowBlank="1" type="list">
      <formula1>"≤30m,＞30m"</formula1>
    </dataValidation>
    <dataValidation sqref="F75:F77 F85:F91" showDropDown="0" showInputMessage="1" showErrorMessage="1" allowBlank="1" type="list">
      <formula1>"Ⅰ,Ⅱ,Ⅲ"</formula1>
    </dataValidation>
    <dataValidation sqref="L5:L96" showDropDown="0" showInputMessage="1" showErrorMessage="1" allowBlank="1" type="list">
      <formula1>"甲级,乙级,丙级"</formula1>
    </dataValidation>
    <dataValidation sqref="L104:L166" showDropDown="0" showInputMessage="1" showErrorMessage="1" allowBlank="1" type="list">
      <formula1>"甲级,乙级,丙级,物探"</formula1>
    </dataValidation>
    <dataValidation sqref="L167:L209" showDropDown="0" showInputMessage="1" showErrorMessage="1" allowBlank="1" type="list">
      <formula1>"甲级,乙级,丙级,试验"</formula1>
    </dataValidation>
  </dataValidations>
  <pageMargins left="0.786805555555556" right="0.590277777777778" top="0.786805555555556" bottom="0.590277777777778" header="0.5" footer="0.196527777777778"/>
  <pageSetup orientation="landscape" paperSize="9" scale="61" horizontalDpi="600"/>
  <headerFooter>
    <oddHeader/>
    <oddFooter>&amp;L&amp;G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Y10"/>
  <sheetViews>
    <sheetView zoomScale="85" zoomScaleNormal="85" workbookViewId="0">
      <selection activeCell="O2" sqref="O2:Y2"/>
    </sheetView>
  </sheetViews>
  <sheetFormatPr baseColWidth="8" defaultColWidth="8.72727272727273" defaultRowHeight="14"/>
  <cols>
    <col width="5.77272727272727" customWidth="1" style="208" min="1" max="1"/>
    <col width="20.6454545454545" customWidth="1" style="251" min="2" max="2"/>
    <col width="8.72727272727273" customWidth="1" style="251" min="3" max="5"/>
    <col width="9.54545454545454" customWidth="1" style="251" min="6" max="6"/>
    <col width="8.72727272727273" customWidth="1" style="251" min="7" max="11"/>
    <col width="9.54545454545454" customWidth="1" style="251" min="12" max="12"/>
    <col width="22.5636363636364" customWidth="1" style="251" min="13" max="13"/>
    <col width="22.4545454545455" customWidth="1" style="208" min="14" max="14"/>
    <col width="8.72727272727273" customWidth="1" style="252" min="15" max="17"/>
    <col width="9.54545454545454" customWidth="1" style="252" min="18" max="18"/>
    <col width="8.72727272727273" customWidth="1" style="252" min="19" max="23"/>
    <col width="9.54545454545454" customWidth="1" style="252" min="24" max="24"/>
    <col width="12.6181818181818" customWidth="1" style="252" min="25" max="25"/>
    <col width="8.72727272727273" customWidth="1" style="251" min="26" max="16384"/>
  </cols>
  <sheetData>
    <row r="1" ht="17.5" customHeight="1" s="186">
      <c r="A1" s="253" t="inlineStr">
        <is>
          <t>附表3 工程勘察其他费用统计     单位：元</t>
        </is>
      </c>
      <c r="O1" s="254" t="n"/>
      <c r="P1" s="254" t="n"/>
      <c r="Q1" s="254" t="n"/>
      <c r="R1" s="254" t="n"/>
      <c r="S1" s="254" t="n"/>
      <c r="T1" s="254" t="n"/>
      <c r="U1" s="254" t="n"/>
      <c r="V1" s="254" t="n"/>
      <c r="W1" s="254" t="n"/>
      <c r="X1" s="254" t="n"/>
      <c r="Y1" s="254" t="n"/>
    </row>
    <row r="2" ht="15" customHeight="1" s="186">
      <c r="A2" s="236" t="inlineStr">
        <is>
          <t>序号</t>
        </is>
      </c>
      <c r="B2" s="255" t="inlineStr">
        <is>
          <t>单体名称</t>
        </is>
      </c>
      <c r="C2" s="256" t="inlineStr">
        <is>
          <t>承包商上报</t>
        </is>
      </c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6" t="n"/>
      <c r="O2" s="257" t="inlineStr">
        <is>
          <t>造价管理中心审核</t>
        </is>
      </c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6" t="n"/>
    </row>
    <row r="3" ht="78" customHeight="1" s="186">
      <c r="A3" s="197" t="n"/>
      <c r="B3" s="197" t="n"/>
      <c r="C3" s="258" t="inlineStr">
        <is>
          <t>办理工程勘察相关许可</t>
        </is>
      </c>
      <c r="D3" s="255" t="inlineStr">
        <is>
          <t>购买有关资料</t>
        </is>
      </c>
      <c r="E3" s="255" t="inlineStr">
        <is>
          <t>拆除障碍物，开挖以及修复地下管线</t>
        </is>
      </c>
      <c r="F3" s="255" t="inlineStr">
        <is>
          <t>修通至作业现场道路，接通电源、水源以及平整场地</t>
        </is>
      </c>
      <c r="G3" s="255" t="inlineStr">
        <is>
          <t>勘察材料以及加工、封孔费</t>
        </is>
      </c>
      <c r="H3" s="255" t="inlineStr">
        <is>
          <t>水上作业用船、排、平台以及水监</t>
        </is>
      </c>
      <c r="I3" s="255" t="inlineStr">
        <is>
          <t>勘察作业大型机具搬运</t>
        </is>
      </c>
      <c r="J3" s="255" t="inlineStr">
        <is>
          <t>青苗、树木以及水域养殖物赔偿等</t>
        </is>
      </c>
      <c r="K3" s="255" t="inlineStr">
        <is>
          <t>其他</t>
        </is>
      </c>
      <c r="L3" s="259" t="inlineStr">
        <is>
          <t>合计</t>
        </is>
      </c>
      <c r="M3" s="236" t="inlineStr">
        <is>
          <t>费用文件编号</t>
        </is>
      </c>
      <c r="N3" s="236" t="inlineStr">
        <is>
          <t>备注</t>
        </is>
      </c>
      <c r="O3" s="260" t="inlineStr">
        <is>
          <t>办理工程勘察相关许可</t>
        </is>
      </c>
      <c r="P3" s="260" t="inlineStr">
        <is>
          <t>购买有关资料</t>
        </is>
      </c>
      <c r="Q3" s="260" t="inlineStr">
        <is>
          <t>拆除障碍物，开挖以及修复地下管线</t>
        </is>
      </c>
      <c r="R3" s="260" t="inlineStr">
        <is>
          <t>修通至作业现场道路，接通电源、水源以及平整场地</t>
        </is>
      </c>
      <c r="S3" s="260" t="inlineStr">
        <is>
          <t>勘察材料以及加工、封孔费</t>
        </is>
      </c>
      <c r="T3" s="260" t="inlineStr">
        <is>
          <t>水上作业用船、排、平台以及水监</t>
        </is>
      </c>
      <c r="U3" s="260" t="inlineStr">
        <is>
          <t>勘察作业大型机具搬运</t>
        </is>
      </c>
      <c r="V3" s="260" t="inlineStr">
        <is>
          <t>青苗、树木以及水域养殖物赔偿等</t>
        </is>
      </c>
      <c r="W3" s="260" t="inlineStr">
        <is>
          <t>其他</t>
        </is>
      </c>
      <c r="X3" s="261" t="inlineStr">
        <is>
          <t>合计</t>
        </is>
      </c>
      <c r="Y3" s="235" t="inlineStr">
        <is>
          <t>审减理由</t>
        </is>
      </c>
    </row>
    <row r="4">
      <c r="A4" s="236" t="n">
        <v>1</v>
      </c>
      <c r="B4" s="262" t="inlineStr">
        <is>
          <t>示范穿越</t>
        </is>
      </c>
      <c r="C4" s="263" t="n">
        <v>400</v>
      </c>
      <c r="D4" s="263" t="n">
        <v>400</v>
      </c>
      <c r="E4" s="263" t="n"/>
      <c r="F4" s="263" t="n"/>
      <c r="G4" s="263" t="n"/>
      <c r="H4" s="263" t="n"/>
      <c r="I4" s="263" t="n"/>
      <c r="J4" s="263" t="n"/>
      <c r="K4" s="263" t="n">
        <v>500</v>
      </c>
      <c r="L4" s="264" t="n">
        <v>800</v>
      </c>
      <c r="M4" s="236" t="inlineStr">
        <is>
          <t>附件001-1~附件001-3</t>
        </is>
      </c>
      <c r="N4" s="236" t="inlineStr">
        <is>
          <t>许可、资料及临时设施费用</t>
        </is>
      </c>
      <c r="O4" s="265" t="n"/>
      <c r="P4" s="265" t="n"/>
      <c r="Q4" s="265" t="n"/>
      <c r="R4" s="265" t="n"/>
      <c r="S4" s="265" t="n"/>
      <c r="T4" s="265" t="n"/>
      <c r="U4" s="265" t="n"/>
      <c r="V4" s="265" t="n"/>
      <c r="W4" s="265" t="n"/>
      <c r="X4" s="266" t="n"/>
      <c r="Y4" s="267" t="n"/>
    </row>
    <row r="5">
      <c r="A5" s="236" t="n">
        <v>2</v>
      </c>
      <c r="B5" s="262" t="inlineStr">
        <is>
          <t>示范隧道</t>
        </is>
      </c>
      <c r="C5" s="263" t="n"/>
      <c r="D5" s="263" t="n"/>
      <c r="E5" s="263" t="n"/>
      <c r="F5" s="263" t="n"/>
      <c r="G5" s="263" t="n"/>
      <c r="H5" s="263" t="n"/>
      <c r="I5" s="263" t="n"/>
      <c r="J5" s="263" t="n">
        <v>1800</v>
      </c>
      <c r="K5" s="263" t="n"/>
      <c r="L5" s="264" t="n">
        <v>1800</v>
      </c>
      <c r="M5" s="236" t="n"/>
      <c r="N5" s="236" t="inlineStr">
        <is>
          <t>青苗补偿费用，费用文件编号待补</t>
        </is>
      </c>
      <c r="O5" s="265" t="n"/>
      <c r="P5" s="265" t="n"/>
      <c r="Q5" s="265" t="n"/>
      <c r="R5" s="265" t="n"/>
      <c r="S5" s="265" t="n"/>
      <c r="T5" s="265" t="n"/>
      <c r="U5" s="265" t="n"/>
      <c r="V5" s="265" t="n"/>
      <c r="W5" s="265" t="n"/>
      <c r="X5" s="266" t="n"/>
      <c r="Y5" s="267" t="n"/>
    </row>
    <row r="6">
      <c r="A6" s="236" t="n">
        <v>3</v>
      </c>
      <c r="B6" s="262" t="inlineStr">
        <is>
          <t>石塔头隧道</t>
        </is>
      </c>
      <c r="C6" s="263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4" t="n"/>
      <c r="M6" s="236" t="n"/>
      <c r="N6" s="236" t="n"/>
      <c r="O6" s="265" t="n"/>
      <c r="P6" s="265" t="n"/>
      <c r="Q6" s="265" t="n"/>
      <c r="R6" s="265" t="n"/>
      <c r="S6" s="265" t="n"/>
      <c r="T6" s="265" t="n"/>
      <c r="U6" s="265" t="n"/>
      <c r="V6" s="265" t="n"/>
      <c r="W6" s="265" t="n"/>
      <c r="X6" s="266" t="n"/>
      <c r="Y6" s="267" t="n"/>
    </row>
    <row r="7">
      <c r="A7" s="236" t="n"/>
      <c r="B7" s="263" t="n"/>
      <c r="C7" s="263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4" t="n"/>
      <c r="M7" s="236" t="n"/>
      <c r="N7" s="236" t="n"/>
      <c r="O7" s="265" t="n"/>
      <c r="P7" s="265" t="n"/>
      <c r="Q7" s="265" t="n"/>
      <c r="R7" s="265" t="n"/>
      <c r="S7" s="265" t="n"/>
      <c r="T7" s="265" t="n"/>
      <c r="U7" s="265" t="n"/>
      <c r="V7" s="265" t="n"/>
      <c r="W7" s="265" t="n"/>
      <c r="X7" s="266" t="n"/>
      <c r="Y7" s="267" t="n"/>
    </row>
    <row r="8">
      <c r="A8" s="236" t="n"/>
      <c r="B8" s="263" t="n"/>
      <c r="C8" s="263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4" t="n"/>
      <c r="M8" s="236" t="n"/>
      <c r="N8" s="236" t="n"/>
      <c r="O8" s="265" t="n"/>
      <c r="P8" s="265" t="n"/>
      <c r="Q8" s="265" t="n"/>
      <c r="R8" s="265" t="n"/>
      <c r="S8" s="265" t="n"/>
      <c r="T8" s="265" t="n"/>
      <c r="U8" s="265" t="n"/>
      <c r="V8" s="265" t="n"/>
      <c r="W8" s="265" t="n"/>
      <c r="X8" s="266" t="n"/>
      <c r="Y8" s="267" t="n"/>
    </row>
    <row r="9">
      <c r="A9" s="236" t="n"/>
      <c r="B9" s="263" t="inlineStr">
        <is>
          <t>……</t>
        </is>
      </c>
      <c r="C9" s="263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4" t="n"/>
      <c r="M9" s="268" t="n"/>
      <c r="N9" s="236" t="n"/>
      <c r="O9" s="265" t="n"/>
      <c r="P9" s="265" t="n"/>
      <c r="Q9" s="265" t="n"/>
      <c r="R9" s="265" t="n"/>
      <c r="S9" s="265" t="n"/>
      <c r="T9" s="265" t="n"/>
      <c r="U9" s="265" t="n"/>
      <c r="V9" s="265" t="n"/>
      <c r="W9" s="265" t="n"/>
      <c r="X9" s="266" t="n"/>
      <c r="Y9" s="267" t="n"/>
    </row>
    <row r="10">
      <c r="A10" s="236" t="n"/>
      <c r="B10" s="269" t="inlineStr">
        <is>
          <t>合计</t>
        </is>
      </c>
      <c r="C10" s="270" t="n"/>
      <c r="D10" s="270" t="n"/>
      <c r="E10" s="270" t="n"/>
      <c r="F10" s="270" t="n"/>
      <c r="G10" s="270" t="n"/>
      <c r="H10" s="270" t="n"/>
      <c r="I10" s="270" t="n"/>
      <c r="J10" s="270" t="n"/>
      <c r="K10" s="270" t="n"/>
      <c r="L10" s="270" t="n"/>
      <c r="M10" s="268" t="n"/>
      <c r="N10" s="236" t="n"/>
      <c r="O10" s="271" t="n"/>
      <c r="P10" s="271" t="n"/>
      <c r="Q10" s="271" t="n"/>
      <c r="R10" s="271" t="n"/>
      <c r="S10" s="271" t="n"/>
      <c r="T10" s="271" t="n"/>
      <c r="U10" s="271" t="n"/>
      <c r="V10" s="271" t="n"/>
      <c r="W10" s="271" t="n"/>
      <c r="X10" s="271" t="n"/>
      <c r="Y10" s="267" t="n"/>
    </row>
  </sheetData>
  <mergeCells count="5">
    <mergeCell ref="C2:N2"/>
    <mergeCell ref="O2:Y2"/>
    <mergeCell ref="B2:B3"/>
    <mergeCell ref="A2:A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186" min="1" max="1"/>
    <col width="30" customWidth="1" style="186" min="2" max="2"/>
    <col width="68" customWidth="1" style="186" min="3" max="3"/>
  </cols>
  <sheetData>
    <row r="1" ht="34" customHeight="1" s="186">
      <c r="A1" s="272" t="inlineStr">
        <is>
          <t>结算审核助手演示样例</t>
        </is>
      </c>
    </row>
    <row r="2">
      <c r="A2" s="273" t="inlineStr">
        <is>
          <t>本文件由统一报价模板生成，仅用于竞赛演示与自动化回归，不代表真实项目结算结论。</t>
        </is>
      </c>
    </row>
    <row r="4">
      <c r="A4" s="274" t="inlineStr">
        <is>
          <t>类型</t>
        </is>
      </c>
      <c r="B4" s="274" t="inlineStr">
        <is>
          <t>主题</t>
        </is>
      </c>
      <c r="C4" s="274" t="inlineStr">
        <is>
          <t>说明</t>
        </is>
      </c>
    </row>
    <row r="5" ht="34" customHeight="1" s="186">
      <c r="A5" s="275" t="inlineStr">
        <is>
          <t>场景</t>
        </is>
      </c>
      <c r="B5" s="275" t="inlineStr">
        <is>
          <t>正确记录</t>
        </is>
      </c>
      <c r="C5" s="275" t="inlineStr">
        <is>
          <t>勘察费第 13 行参数与算术正确，用于验证系统不会把所有有值行都判成风险。</t>
        </is>
      </c>
    </row>
    <row r="6" ht="34" customHeight="1" s="186">
      <c r="A6" s="276" t="inlineStr">
        <is>
          <t>已知风险</t>
        </is>
      </c>
      <c r="B6" s="276" t="inlineStr">
        <is>
          <t>模板参数</t>
        </is>
      </c>
      <c r="C6" s="276" t="inlineStr">
        <is>
          <t>测量费第 11 行基价、第 24 行实物系数偏离统一模板。</t>
        </is>
      </c>
    </row>
    <row r="7" ht="34" customHeight="1" s="186">
      <c r="A7" s="275" t="inlineStr">
        <is>
          <t>已知风险</t>
        </is>
      </c>
      <c r="B7" s="275" t="inlineStr">
        <is>
          <t>金额算术</t>
        </is>
      </c>
      <c r="C7" s="275" t="inlineStr">
        <is>
          <t>测量费第 37 行金额被手工写为 5000 元。</t>
        </is>
      </c>
    </row>
    <row r="8" ht="34" customHeight="1" s="186">
      <c r="A8" s="276" t="inlineStr">
        <is>
          <t>已知风险</t>
        </is>
      </c>
      <c r="B8" s="276" t="inlineStr">
        <is>
          <t>深孔专项</t>
        </is>
      </c>
      <c r="C8" s="276" t="inlineStr">
        <is>
          <t>勘察费第 40 行深度大于 300m，模板公式额外乘以 1.2。</t>
        </is>
      </c>
    </row>
    <row r="9" ht="34" customHeight="1" s="186">
      <c r="A9" s="275" t="inlineStr">
        <is>
          <t>已知风险</t>
        </is>
      </c>
      <c r="B9" s="275" t="inlineStr">
        <is>
          <t>室内试验</t>
        </is>
      </c>
      <c r="C9" s="275" t="inlineStr">
        <is>
          <t>勘察费第 200 行技术工作费系数使用 0.1。</t>
        </is>
      </c>
    </row>
    <row r="10" ht="34" customHeight="1" s="186">
      <c r="A10" s="276" t="inlineStr">
        <is>
          <t>已知风险</t>
        </is>
      </c>
      <c r="B10" s="276" t="inlineStr">
        <is>
          <t>其他费用</t>
        </is>
      </c>
      <c r="C10" s="276" t="inlineStr">
        <is>
          <t>第 4 行合计遗漏 K 列，第 5 行缺少费用文件编号。</t>
        </is>
      </c>
    </row>
    <row r="11" ht="34" customHeight="1" s="186">
      <c r="A11" s="275" t="inlineStr">
        <is>
          <t>已知风险</t>
        </is>
      </c>
      <c r="B11" s="275" t="inlineStr">
        <is>
          <t>合同参数</t>
        </is>
      </c>
      <c r="C11" s="275" t="inlineStr">
        <is>
          <t>汇总表 M4 使用 0.95，偏离统一模板参考值 0.90，必须结合合同确认。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2020-02-29T20:10:00Z</dcterms:created>
  <dcterms:modified xmlns:dcterms="http://purl.org/dc/terms/" xmlns:xsi="http://www.w3.org/2001/XMLSchema-instance" xsi:type="dcterms:W3CDTF">2026-07-29T16:28:06Z</dcterms:modified>
  <cp:lastModifiedBy> 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2052-12.8.2.18205</vt:lpwstr>
  </property>
  <property name="ICV" fmtid="{D5CDD505-2E9C-101B-9397-08002B2CF9AE}" pid="3">
    <vt:lpwstr xmlns:vt="http://schemas.openxmlformats.org/officeDocument/2006/docPropsVTypes">98537484BA3D0F996F0CBC6650C809D5_43</vt:lpwstr>
  </property>
</Properties>
</file>