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表4-通用工程勘察费用" sheetId="1" state="visible" r:id="rId1"/>
  </sheets>
  <definedNames>
    <definedName name="_xlnm._FilterDatabase" localSheetId="0" hidden="1">'表4-通用工程勘察费用'!$A$3:$AT$208</definedName>
    <definedName name="_xlnm.Print_Titles" localSheetId="0">'表4-通用工程勘察费用'!$1:$3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_ "/>
    <numFmt numFmtId="165" formatCode="0.00_);\(0.00\)"/>
    <numFmt numFmtId="166" formatCode="0.00_ "/>
    <numFmt numFmtId="167" formatCode="0.00_);[Red]\(0.00\)"/>
    <numFmt numFmtId="168" formatCode="0.0_);\(0.0\)"/>
    <numFmt numFmtId="169" formatCode="0_);[Red]\(0\)"/>
    <numFmt numFmtId="170" formatCode="0.0_ "/>
    <numFmt numFmtId="171" formatCode="0.0000_ "/>
    <numFmt numFmtId="172" formatCode="0.000_ "/>
  </numFmts>
  <fonts count="36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9"/>
      <scheme val="minor"/>
    </font>
    <font>
      <name val="仿宋_GB2312"/>
      <charset val="134"/>
      <family val="3"/>
      <b val="1"/>
      <sz val="14"/>
    </font>
    <font>
      <name val="宋体"/>
      <charset val="134"/>
      <family val="3"/>
      <b val="1"/>
      <sz val="10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宋体"/>
      <charset val="134"/>
      <family val="3"/>
      <color theme="1"/>
      <sz val="10"/>
      <scheme val="minor"/>
    </font>
    <font>
      <name val="Times New Roman"/>
      <family val="1"/>
      <b val="1"/>
      <sz val="14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仿宋_GB2312"/>
      <charset val="134"/>
      <family val="3"/>
      <sz val="10"/>
    </font>
    <font>
      <name val="宋体"/>
      <charset val="134"/>
      <family val="3"/>
      <color rgb="FFFF0000"/>
      <sz val="10"/>
      <scheme val="minor"/>
    </font>
    <font>
      <name val="宋体"/>
      <charset val="134"/>
      <family val="3"/>
      <sz val="10"/>
      <vertAlign val="superscript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4"/>
      <scheme val="major"/>
    </font>
    <font>
      <name val="宋体"/>
      <charset val="134"/>
      <family val="3"/>
      <color theme="1"/>
      <sz val="11"/>
      <scheme val="major"/>
    </font>
    <font>
      <name val="宋体"/>
      <charset val="134"/>
      <family val="3"/>
      <b val="1"/>
      <sz val="10"/>
      <scheme val="major"/>
    </font>
    <font>
      <name val="宋体"/>
      <charset val="134"/>
      <family val="3"/>
      <b val="1"/>
      <color theme="1"/>
      <sz val="11"/>
      <scheme val="major"/>
    </font>
    <font>
      <name val="宋体"/>
      <charset val="134"/>
      <family val="3"/>
      <sz val="10"/>
      <scheme val="major"/>
    </font>
    <font>
      <name val="宋体"/>
      <charset val="134"/>
      <family val="3"/>
      <color theme="1"/>
      <sz val="10"/>
      <scheme val="major"/>
    </font>
    <font>
      <name val="宋体"/>
      <charset val="134"/>
      <family val="3"/>
      <sz val="10"/>
      <vertAlign val="superscript"/>
      <scheme val="major"/>
    </font>
    <font>
      <name val="宋体"/>
      <charset val="134"/>
      <family val="3"/>
      <b val="1"/>
      <color theme="1"/>
      <sz val="10"/>
      <scheme val="major"/>
    </font>
    <font>
      <name val="宋体"/>
      <charset val="134"/>
      <family val="3"/>
      <sz val="11"/>
      <scheme val="major"/>
    </font>
    <font>
      <name val="宋体"/>
      <charset val="134"/>
      <family val="3"/>
      <color rgb="FF000000"/>
      <sz val="10"/>
      <scheme val="major"/>
    </font>
    <font>
      <name val="宋体"/>
      <charset val="134"/>
      <family val="3"/>
      <b val="1"/>
      <color theme="1"/>
      <sz val="9"/>
      <scheme val="minor"/>
    </font>
    <font>
      <name val="宋体"/>
      <charset val="134"/>
      <family val="3"/>
      <b val="1"/>
      <color rgb="FF00B050"/>
      <sz val="10"/>
      <scheme val="major"/>
    </font>
    <font>
      <name val="宋体"/>
      <charset val="134"/>
      <family val="3"/>
      <color rgb="FF00B050"/>
      <sz val="10"/>
      <scheme val="maj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rgb="FF00B050"/>
      <sz val="10"/>
      <scheme val="minor"/>
    </font>
    <font>
      <name val="宋体"/>
      <charset val="134"/>
      <family val="3"/>
      <b val="1"/>
      <color rgb="FFC00000"/>
      <sz val="10"/>
      <scheme val="major"/>
    </font>
    <font>
      <name val="宋体"/>
      <charset val="134"/>
      <family val="3"/>
      <b val="1"/>
      <color theme="4" tint="0.3999755851924192"/>
      <sz val="10"/>
      <scheme val="major"/>
    </font>
    <font>
      <name val="宋体"/>
      <charset val="134"/>
      <family val="3"/>
      <b val="1"/>
      <color rgb="FFC00000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7" fontId="4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8" fontId="4" fillId="0" borderId="5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right" vertical="center" wrapText="1"/>
    </xf>
    <xf numFmtId="166" fontId="4" fillId="0" borderId="5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right" vertical="center"/>
    </xf>
    <xf numFmtId="166" fontId="7" fillId="0" borderId="5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6" fontId="4" fillId="0" borderId="5" applyAlignment="1" pivotButton="0" quotePrefix="0" xfId="0">
      <alignment horizontal="right" vertical="center" wrapText="1"/>
    </xf>
    <xf numFmtId="169" fontId="4" fillId="0" borderId="1" applyAlignment="1" pivotButton="0" quotePrefix="0" xfId="0">
      <alignment horizontal="right" vertical="center" wrapText="1"/>
    </xf>
    <xf numFmtId="0" fontId="7" fillId="0" borderId="5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7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167" fontId="9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vertical="center" wrapText="1"/>
    </xf>
    <xf numFmtId="170" fontId="3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17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/>
    </xf>
    <xf numFmtId="166" fontId="4" fillId="0" borderId="1" applyAlignment="1" pivotButton="0" quotePrefix="0" xfId="0">
      <alignment vertical="center" wrapText="1"/>
    </xf>
    <xf numFmtId="171" fontId="4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9" fontId="7" fillId="0" borderId="1" applyAlignment="1" pivotButton="0" quotePrefix="0" xfId="0">
      <alignment vertical="center"/>
    </xf>
    <xf numFmtId="171" fontId="7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49" fontId="20" fillId="6" borderId="1" applyAlignment="1" pivotButton="0" quotePrefix="0" xfId="0">
      <alignment horizontal="center" vertical="center" wrapText="1"/>
    </xf>
    <xf numFmtId="167" fontId="20" fillId="6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9" fontId="22" fillId="0" borderId="1" applyAlignment="1" pivotButton="0" quotePrefix="0" xfId="0">
      <alignment horizontal="center" vertical="center" wrapText="1"/>
    </xf>
    <xf numFmtId="169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49" fontId="2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167" fontId="23" fillId="0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 shrinkToFit="1"/>
    </xf>
    <xf numFmtId="0" fontId="2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165" fontId="32" fillId="0" borderId="13" applyAlignment="1" pivotButton="0" quotePrefix="0" xfId="0">
      <alignment horizontal="left" vertical="center"/>
    </xf>
    <xf numFmtId="0" fontId="29" fillId="4" borderId="14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left" vertical="center" wrapText="1"/>
    </xf>
    <xf numFmtId="0" fontId="23" fillId="0" borderId="14" applyAlignment="1" pivotButton="0" quotePrefix="0" xfId="0">
      <alignment horizontal="left" vertical="center" wrapText="1"/>
    </xf>
    <xf numFmtId="165" fontId="32" fillId="0" borderId="14" applyAlignment="1" pivotButton="0" quotePrefix="0" xfId="0">
      <alignment horizontal="left" vertical="center" wrapText="1"/>
    </xf>
    <xf numFmtId="0" fontId="31" fillId="0" borderId="14" applyAlignment="1" pivotButton="0" quotePrefix="0" xfId="0">
      <alignment horizontal="left" vertical="center" wrapText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vertical="center" wrapText="1" shrinkToFit="1"/>
    </xf>
    <xf numFmtId="0" fontId="22" fillId="0" borderId="14" applyAlignment="1" pivotButton="0" quotePrefix="0" xfId="0">
      <alignment horizontal="center" vertical="center" wrapText="1"/>
    </xf>
    <xf numFmtId="167" fontId="22" fillId="0" borderId="14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/>
    </xf>
    <xf numFmtId="164" fontId="23" fillId="0" borderId="14" applyAlignment="1" pivotButton="0" quotePrefix="0" xfId="0">
      <alignment horizontal="center" vertical="center" wrapText="1"/>
    </xf>
    <xf numFmtId="167" fontId="4" fillId="0" borderId="14" applyAlignment="1" pivotButton="0" quotePrefix="0" xfId="0">
      <alignment horizontal="center" vertical="center" wrapText="1"/>
    </xf>
    <xf numFmtId="167" fontId="29" fillId="0" borderId="14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 wrapText="1"/>
    </xf>
    <xf numFmtId="0" fontId="29" fillId="4" borderId="15" applyAlignment="1" pivotButton="0" quotePrefix="0" xfId="0">
      <alignment horizontal="left" vertical="center" wrapText="1"/>
    </xf>
    <xf numFmtId="0" fontId="34" fillId="6" borderId="14" applyAlignment="1" pivotButton="0" quotePrefix="0" xfId="0">
      <alignment horizontal="center" vertical="center" wrapText="1"/>
    </xf>
    <xf numFmtId="0" fontId="20" fillId="6" borderId="14" applyAlignment="1" pivotButton="0" quotePrefix="0" xfId="0">
      <alignment horizontal="center" vertical="center" wrapText="1"/>
    </xf>
    <xf numFmtId="0" fontId="14" fillId="6" borderId="14" applyAlignment="1" pivotButton="0" quotePrefix="0" xfId="0">
      <alignment horizontal="center" vertical="center" wrapText="1"/>
    </xf>
    <xf numFmtId="0" fontId="14" fillId="8" borderId="14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17" fillId="6" borderId="14" applyAlignment="1" pivotButton="0" quotePrefix="0" xfId="0">
      <alignment horizontal="center" vertical="center" wrapText="1"/>
    </xf>
    <xf numFmtId="167" fontId="32" fillId="0" borderId="14" applyAlignment="1" pivotButton="0" quotePrefix="0" xfId="0">
      <alignment horizontal="left" vertical="center" wrapText="1"/>
    </xf>
    <xf numFmtId="167" fontId="4" fillId="0" borderId="14" applyAlignment="1" pivotButton="0" quotePrefix="0" xfId="0">
      <alignment horizontal="left" vertical="center" wrapText="1"/>
    </xf>
    <xf numFmtId="0" fontId="23" fillId="0" borderId="14" applyAlignment="1" pivotButton="0" quotePrefix="0" xfId="0">
      <alignment horizontal="center" vertical="center" wrapText="1"/>
    </xf>
    <xf numFmtId="0" fontId="25" fillId="6" borderId="14" applyAlignment="1" pivotButton="0" quotePrefix="0" xfId="0">
      <alignment horizontal="center" vertical="center" wrapText="1"/>
    </xf>
    <xf numFmtId="172" fontId="23" fillId="0" borderId="14" applyAlignment="1" pivotButton="0" quotePrefix="0" xfId="0">
      <alignment horizontal="center" vertical="center" wrapText="1"/>
    </xf>
    <xf numFmtId="167" fontId="22" fillId="0" borderId="1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5" fillId="9" borderId="14" applyAlignment="1" pivotButton="0" quotePrefix="0" xfId="0">
      <alignment horizontal="center" vertical="center" wrapText="1"/>
    </xf>
    <xf numFmtId="0" fontId="25" fillId="1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5" fillId="10" borderId="1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4" fillId="0" borderId="5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7" fontId="4" fillId="0" borderId="4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164" fontId="4" fillId="0" borderId="4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18" fillId="0" borderId="1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9" fontId="25" fillId="0" borderId="5" applyAlignment="1" pivotButton="0" quotePrefix="0" xfId="0">
      <alignment horizontal="center" vertical="center"/>
    </xf>
    <xf numFmtId="167" fontId="25" fillId="0" borderId="5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 wrapText="1"/>
    </xf>
    <xf numFmtId="0" fontId="25" fillId="0" borderId="8" applyAlignment="1" pivotButton="0" quotePrefix="0" xfId="0">
      <alignment vertical="center" wrapText="1"/>
    </xf>
    <xf numFmtId="0" fontId="25" fillId="0" borderId="14" applyAlignment="1" pivotButton="0" quotePrefix="0" xfId="0">
      <alignment vertical="center" wrapText="1"/>
    </xf>
    <xf numFmtId="0" fontId="25" fillId="0" borderId="14" applyAlignment="1" pivotButton="0" quotePrefix="0" xfId="0">
      <alignment horizontal="left" vertical="center" wrapText="1"/>
    </xf>
    <xf numFmtId="167" fontId="25" fillId="0" borderId="14" applyAlignment="1" pivotButton="0" quotePrefix="0" xfId="0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164" fontId="14" fillId="0" borderId="5" applyAlignment="1" pivotButton="0" quotePrefix="0" xfId="0">
      <alignment horizontal="right" vertical="center"/>
    </xf>
    <xf numFmtId="0" fontId="14" fillId="0" borderId="5" applyAlignment="1" pivotButton="0" quotePrefix="0" xfId="0">
      <alignment horizontal="center" vertical="center"/>
    </xf>
    <xf numFmtId="166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167" fontId="20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4" fillId="0" borderId="9" applyAlignment="1" pivotButton="0" quotePrefix="0" xfId="0">
      <alignment vertical="center"/>
    </xf>
    <xf numFmtId="164" fontId="14" fillId="0" borderId="7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64" fontId="25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textRotation="255" wrapText="1"/>
    </xf>
    <xf numFmtId="0" fontId="5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4" fontId="14" fillId="0" borderId="9" applyAlignment="1" pivotButton="0" quotePrefix="0" xfId="0">
      <alignment horizontal="center" vertical="center"/>
    </xf>
    <xf numFmtId="164" fontId="14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49" fontId="8" fillId="4" borderId="3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166" fontId="8" fillId="0" borderId="3" applyAlignment="1" pivotButton="0" quotePrefix="0" xfId="0">
      <alignment horizontal="right" vertical="center"/>
    </xf>
    <xf numFmtId="166" fontId="8" fillId="5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right" vertical="center"/>
    </xf>
    <xf numFmtId="0" fontId="8" fillId="2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8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49" fontId="8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170" fontId="8" fillId="0" borderId="5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170" fontId="3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49" fontId="8" fillId="0" borderId="3" applyAlignment="1" pivotButton="0" quotePrefix="0" xfId="0">
      <alignment horizontal="center"/>
    </xf>
    <xf numFmtId="164" fontId="8" fillId="0" borderId="3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165" fontId="8" fillId="0" borderId="3" applyAlignment="1" pivotButton="0" quotePrefix="0" xfId="0">
      <alignment horizontal="center"/>
    </xf>
    <xf numFmtId="166" fontId="8" fillId="0" borderId="3" applyAlignment="1" pivotButton="0" quotePrefix="0" xfId="0">
      <alignment horizontal="right"/>
    </xf>
    <xf numFmtId="166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right"/>
    </xf>
    <xf numFmtId="0" fontId="8" fillId="0" borderId="8" applyAlignment="1" pivotButton="0" quotePrefix="0" xfId="0">
      <alignment horizontal="center"/>
    </xf>
    <xf numFmtId="0" fontId="5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7" pivotButton="0" quotePrefix="0" xfId="0"/>
    <xf numFmtId="164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center" vertical="center" wrapText="1"/>
    </xf>
    <xf numFmtId="167" fontId="29" fillId="0" borderId="14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7" fontId="4" fillId="0" borderId="14" applyAlignment="1" pivotButton="0" quotePrefix="0" xfId="0">
      <alignment horizontal="center" vertical="center" wrapText="1"/>
    </xf>
    <xf numFmtId="167" fontId="22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165" fontId="32" fillId="0" borderId="14" applyAlignment="1" pivotButton="0" quotePrefix="0" xfId="0">
      <alignment horizontal="left" vertical="center" wrapText="1"/>
    </xf>
    <xf numFmtId="164" fontId="23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164" fontId="5" fillId="0" borderId="1" applyAlignment="1" pivotButton="0" quotePrefix="0" xfId="0">
      <alignment horizontal="center" vertical="center" wrapText="1"/>
    </xf>
    <xf numFmtId="167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/>
    </xf>
    <xf numFmtId="164" fontId="14" fillId="0" borderId="5" applyAlignment="1" pivotButton="0" quotePrefix="0" xfId="0">
      <alignment horizontal="right" vertical="center"/>
    </xf>
    <xf numFmtId="164" fontId="14" fillId="0" borderId="9" applyAlignment="1" pivotButton="0" quotePrefix="0" xfId="0">
      <alignment vertical="center"/>
    </xf>
    <xf numFmtId="164" fontId="14" fillId="0" borderId="7" applyAlignment="1" pivotButton="0" quotePrefix="0" xfId="0">
      <alignment vertical="center"/>
    </xf>
    <xf numFmtId="164" fontId="25" fillId="0" borderId="14" applyAlignment="1" pivotButton="0" quotePrefix="0" xfId="0">
      <alignment horizontal="center" vertical="center" wrapText="1"/>
    </xf>
    <xf numFmtId="167" fontId="20" fillId="0" borderId="14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center" vertical="center"/>
    </xf>
    <xf numFmtId="165" fontId="32" fillId="0" borderId="13" applyAlignment="1" pivotButton="0" quotePrefix="0" xfId="0">
      <alignment horizontal="left" vertical="center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tabColor theme="9" tint="0.5999938962981048"/>
    <outlinePr summaryBelow="0" summaryRight="0"/>
    <pageSetUpPr/>
  </sheetPr>
  <dimension ref="A1:AT217"/>
  <sheetViews>
    <sheetView zoomScale="85" zoomScaleNormal="85" workbookViewId="0">
      <pane xSplit="7" ySplit="3" topLeftCell="H57" activePane="bottomRight" state="frozen"/>
      <selection activeCell="A1" sqref="A1:R1"/>
      <selection pane="topRight" activeCell="A1" sqref="A1:R1"/>
      <selection pane="bottomLeft" activeCell="A1" sqref="A1:R1"/>
      <selection pane="bottomRight" activeCell="H74" sqref="H74"/>
    </sheetView>
  </sheetViews>
  <sheetFormatPr baseColWidth="8" defaultColWidth="9" defaultRowHeight="22.5" customHeight="1" outlineLevelRow="1"/>
  <cols>
    <col width="5.6640625" customWidth="1" style="2" min="1" max="1"/>
    <col width="5.44140625" customWidth="1" style="92" min="2" max="2"/>
    <col width="7.6640625" customWidth="1" style="157" min="3" max="3"/>
    <col width="8.5546875" customWidth="1" style="2" min="4" max="4"/>
    <col width="12.109375" customWidth="1" style="3" min="5" max="5"/>
    <col width="7.44140625" customWidth="1" style="2" min="6" max="6"/>
    <col width="9.21875" customWidth="1" style="2" min="7" max="7"/>
    <col width="12.6640625" customWidth="1" style="296" min="8" max="8"/>
    <col collapsed="1" width="9.88671875" customWidth="1" style="2" min="9" max="9"/>
    <col hidden="1" outlineLevel="1" width="9" customWidth="1" style="2" min="10" max="11"/>
    <col hidden="1" outlineLevel="1" width="15.77734375" customWidth="1" style="2" min="12" max="12"/>
    <col width="10.77734375" customWidth="1" style="297" min="13" max="13"/>
    <col outlineLevel="1" width="10.77734375" customWidth="1" style="298" min="14" max="14"/>
    <col width="9.21875" customWidth="1" style="2" min="15" max="15"/>
    <col width="11.109375" customWidth="1" style="299" min="16" max="16"/>
    <col outlineLevel="1" width="9.77734375" customWidth="1" style="9" min="17" max="17"/>
    <col width="11.21875" customWidth="1" style="9" min="18" max="18"/>
    <col width="18.6640625" customWidth="1" style="2" min="19" max="20"/>
    <col width="4.88671875" customWidth="1" style="104" min="21" max="21"/>
    <col collapsed="1" width="9" customWidth="1" style="1" min="22" max="22"/>
    <col hidden="1" outlineLevel="2" width="28.88671875" customWidth="1" style="152" min="23" max="23"/>
    <col hidden="1" outlineLevel="1" collapsed="1" width="12.21875" customWidth="1" style="65" min="24" max="24"/>
    <col hidden="1" outlineLevel="2" width="22.33203125" customWidth="1" style="105" min="25" max="25"/>
    <col hidden="1" outlineLevel="1" collapsed="1" width="14.109375" customWidth="1" style="65" min="26" max="26"/>
    <col hidden="1" outlineLevel="2" width="18.5546875" customWidth="1" style="105" min="27" max="27"/>
    <col hidden="1" outlineLevel="1" collapsed="1" width="13.21875" customWidth="1" style="300" min="28" max="28"/>
    <col hidden="1" outlineLevel="2" width="18.5546875" customWidth="1" style="105" min="29" max="29"/>
    <col hidden="1" outlineLevel="1" collapsed="1" style="95" min="30" max="30"/>
    <col hidden="1" outlineLevel="2" width="9" customWidth="1" style="95" min="31" max="32"/>
    <col hidden="1" outlineLevel="2" width="11.109375" customWidth="1" style="95" min="33" max="35"/>
    <col hidden="1" outlineLevel="1" collapsed="1" width="11.88671875" customWidth="1" style="95" min="36" max="36"/>
    <col hidden="1" outlineLevel="2" width="7.21875" customWidth="1" style="95" min="37" max="38"/>
    <col hidden="1" outlineLevel="2" width="18.33203125" customWidth="1" style="95" min="39" max="41"/>
    <col hidden="1" outlineLevel="1" collapsed="1" style="1" min="42" max="42"/>
    <col hidden="1" outlineLevel="2" width="9" customWidth="1" style="1" min="43" max="46"/>
    <col hidden="1" outlineLevel="1" style="1" min="47" max="47"/>
    <col width="9" customWidth="1" style="1" min="48" max="16384"/>
  </cols>
  <sheetData>
    <row r="1" ht="36" customHeight="1" s="301">
      <c r="A1" s="232" t="inlineStr">
        <is>
          <t>附表4油气长输管道通用工程勘察费用测算表</t>
        </is>
      </c>
      <c r="S1" s="302" t="n"/>
      <c r="T1" s="88" t="n"/>
      <c r="U1" s="93" t="n"/>
      <c r="X1" s="93" t="n"/>
      <c r="Z1" s="105" t="n"/>
      <c r="AB1" s="105" t="n"/>
    </row>
    <row r="2" ht="22.5" customFormat="1" customHeight="1" s="47">
      <c r="A2" s="209" t="inlineStr">
        <is>
          <t>序号</t>
        </is>
      </c>
      <c r="B2" s="243" t="inlineStr">
        <is>
          <t>工作任务</t>
        </is>
      </c>
      <c r="C2" s="303" t="n"/>
      <c r="D2" s="303" t="n"/>
      <c r="E2" s="303" t="n"/>
      <c r="F2" s="303" t="n"/>
      <c r="G2" s="304" t="n"/>
      <c r="H2" s="305" t="inlineStr">
        <is>
          <t>实物工作费（元）</t>
        </is>
      </c>
      <c r="I2" s="303" t="n"/>
      <c r="J2" s="303" t="n"/>
      <c r="K2" s="303" t="n"/>
      <c r="L2" s="303" t="n"/>
      <c r="M2" s="303" t="n"/>
      <c r="N2" s="304" t="n"/>
      <c r="O2" s="209" t="inlineStr">
        <is>
          <t>技术工作费（元）</t>
        </is>
      </c>
      <c r="P2" s="303" t="n"/>
      <c r="Q2" s="304" t="n"/>
      <c r="R2" s="306" t="inlineStr">
        <is>
          <t>金额合计</t>
        </is>
      </c>
      <c r="S2" s="209" t="inlineStr">
        <is>
          <t>收费标准里对应条款</t>
        </is>
      </c>
      <c r="T2" s="209" t="inlineStr">
        <is>
          <t>收费标准里对应条款</t>
        </is>
      </c>
      <c r="U2" s="94" t="n"/>
      <c r="V2" s="151" t="n"/>
      <c r="W2" s="153" t="n"/>
      <c r="X2" s="109" t="n"/>
      <c r="Y2" s="109" t="n"/>
      <c r="Z2" s="109" t="n"/>
      <c r="AA2" s="109" t="n"/>
      <c r="AB2" s="109" t="n"/>
      <c r="AC2" s="109" t="n"/>
      <c r="AD2" s="127" t="n"/>
      <c r="AE2" s="96" t="n"/>
      <c r="AF2" s="96" t="n"/>
      <c r="AG2" s="96" t="n"/>
      <c r="AH2" s="96" t="n"/>
      <c r="AI2" s="96" t="n"/>
      <c r="AJ2" s="129" t="n"/>
      <c r="AK2" s="96" t="n"/>
      <c r="AL2" s="96" t="n"/>
      <c r="AM2" s="96" t="n"/>
      <c r="AN2" s="96" t="n"/>
      <c r="AO2" s="96" t="n"/>
      <c r="AP2" s="150" t="n"/>
      <c r="AQ2" s="137" t="n"/>
      <c r="AR2" s="137" t="n"/>
      <c r="AS2" s="137" t="n"/>
      <c r="AT2" s="137" t="n"/>
    </row>
    <row r="3" collapsed="1" ht="37.05" customFormat="1" customHeight="1" s="47">
      <c r="A3" s="307" t="n"/>
      <c r="B3" s="209" t="inlineStr">
        <is>
          <t>项目</t>
        </is>
      </c>
      <c r="C3" s="304" t="n"/>
      <c r="D3" s="209" t="inlineStr">
        <is>
          <t>内容</t>
        </is>
      </c>
      <c r="E3" s="16" t="inlineStr">
        <is>
          <t>类别</t>
        </is>
      </c>
      <c r="F3" s="209" t="inlineStr">
        <is>
          <t>级别</t>
        </is>
      </c>
      <c r="G3" s="209" t="inlineStr">
        <is>
          <t>单位</t>
        </is>
      </c>
      <c r="H3" s="308" t="inlineStr">
        <is>
          <t>基价（元）</t>
        </is>
      </c>
      <c r="I3" s="175" t="inlineStr">
        <is>
          <t>工程量合计</t>
        </is>
      </c>
      <c r="J3" s="209" t="inlineStr">
        <is>
          <t>空</t>
        </is>
      </c>
      <c r="K3" s="209" t="inlineStr">
        <is>
          <t>空</t>
        </is>
      </c>
      <c r="L3" s="209" t="inlineStr">
        <is>
          <t>取费系数说明</t>
        </is>
      </c>
      <c r="M3" s="309" t="inlineStr">
        <is>
          <t>实物工作费调整系数</t>
        </is>
      </c>
      <c r="N3" s="310" t="inlineStr">
        <is>
          <t>小计</t>
        </is>
      </c>
      <c r="O3" s="209" t="inlineStr">
        <is>
          <t>类别</t>
        </is>
      </c>
      <c r="P3" s="311" t="inlineStr">
        <is>
          <t>技术工作费调整系数</t>
        </is>
      </c>
      <c r="Q3" s="209" t="inlineStr">
        <is>
          <t>小计</t>
        </is>
      </c>
      <c r="R3" s="306" t="inlineStr">
        <is>
          <t>（元）</t>
        </is>
      </c>
      <c r="S3" s="307" t="n"/>
      <c r="T3" s="307" t="n"/>
      <c r="U3" s="94" t="n">
        <v>0</v>
      </c>
      <c r="V3" s="151" t="inlineStr">
        <is>
          <t>预警参数</t>
        </is>
      </c>
      <c r="W3" s="153" t="inlineStr">
        <is>
          <t>预警细节</t>
        </is>
      </c>
      <c r="X3" s="125" t="inlineStr">
        <is>
          <t>【经验数】单价</t>
        </is>
      </c>
      <c r="Y3" s="125" t="inlineStr">
        <is>
          <t>【DWB批注】价格or总体</t>
        </is>
      </c>
      <c r="Z3" s="125" t="inlineStr">
        <is>
          <t>【经验数】实物工作费调整系数</t>
        </is>
      </c>
      <c r="AA3" s="125" t="inlineStr">
        <is>
          <t>【DWB批注】-实物工作费调整系数</t>
        </is>
      </c>
      <c r="AB3" s="125" t="inlineStr">
        <is>
          <t>【经验数】技术工作费调整系数</t>
        </is>
      </c>
      <c r="AC3" s="125" t="inlineStr">
        <is>
          <t>【DWB批注】-技术工作费调整系数</t>
        </is>
      </c>
      <c r="AD3" s="127" t="inlineStr">
        <is>
          <t>差值校验</t>
        </is>
      </c>
      <c r="AE3" s="96" t="n"/>
      <c r="AF3" s="96" t="n"/>
      <c r="AG3" s="96" t="n"/>
      <c r="AH3" s="96" t="n"/>
      <c r="AI3" s="96" t="n"/>
      <c r="AJ3" s="129" t="inlineStr">
        <is>
          <t>匹配报告预留位置</t>
        </is>
      </c>
      <c r="AK3" s="96" t="n"/>
      <c r="AL3" s="96" t="n"/>
      <c r="AM3" s="96" t="n"/>
      <c r="AN3" s="96" t="n"/>
      <c r="AO3" s="96" t="n"/>
      <c r="AP3" s="150" t="inlineStr">
        <is>
          <t>委托方信息抓取</t>
        </is>
      </c>
      <c r="AQ3" s="150" t="n"/>
      <c r="AR3" s="150" t="n"/>
      <c r="AS3" s="150" t="n"/>
      <c r="AT3" s="150" t="n"/>
    </row>
    <row r="4" hidden="1" outlineLevel="1" ht="37.05" customFormat="1" customHeight="1" s="87">
      <c r="A4" s="64" t="inlineStr">
        <is>
          <t>映射行</t>
        </is>
      </c>
      <c r="B4" s="64" t="inlineStr">
        <is>
          <t>要素1</t>
        </is>
      </c>
      <c r="C4" s="64" t="inlineStr">
        <is>
          <t>要素2</t>
        </is>
      </c>
      <c r="D4" s="64" t="inlineStr">
        <is>
          <t>要素3</t>
        </is>
      </c>
      <c r="E4" s="64" t="inlineStr">
        <is>
          <t>要素4</t>
        </is>
      </c>
      <c r="F4" s="64" t="inlineStr">
        <is>
          <t>要素5</t>
        </is>
      </c>
      <c r="G4" s="64" t="inlineStr">
        <is>
          <t>单位</t>
        </is>
      </c>
      <c r="H4" s="86" t="inlineStr">
        <is>
          <t>单价匹配-测试</t>
        </is>
      </c>
      <c r="I4" s="64" t="inlineStr">
        <is>
          <t>数量</t>
        </is>
      </c>
      <c r="J4" s="64" t="n"/>
      <c r="K4" s="64" t="n"/>
      <c r="L4" s="64" t="n"/>
      <c r="M4" s="86" t="inlineStr">
        <is>
          <t>实物工作费调整系数-测试</t>
        </is>
      </c>
      <c r="N4" s="64" t="n"/>
      <c r="O4" s="64" t="inlineStr">
        <is>
          <t>要素-技术</t>
        </is>
      </c>
      <c r="P4" s="86" t="inlineStr">
        <is>
          <t>技术工作费调整系数-测试</t>
        </is>
      </c>
      <c r="Q4" s="64" t="n"/>
      <c r="R4" s="64" t="n"/>
      <c r="S4" s="64" t="n"/>
      <c r="T4" s="64" t="n"/>
      <c r="U4" s="124" t="n"/>
      <c r="V4" s="151" t="inlineStr">
        <is>
          <t>预警参数</t>
        </is>
      </c>
      <c r="W4" s="153" t="inlineStr">
        <is>
          <t>预警细节</t>
        </is>
      </c>
      <c r="X4" s="126" t="inlineStr">
        <is>
          <t>(不要被管勘智算脚本识别)</t>
        </is>
      </c>
      <c r="Y4" s="126" t="inlineStr">
        <is>
          <t>(不要被管勘智算脚本识别)</t>
        </is>
      </c>
      <c r="Z4" s="126" t="inlineStr">
        <is>
          <t>(不要被管勘智算脚本识别)</t>
        </is>
      </c>
      <c r="AA4" s="126" t="inlineStr">
        <is>
          <t>(不要被管勘智算脚本识别)</t>
        </is>
      </c>
      <c r="AB4" s="126" t="inlineStr">
        <is>
          <t>(不要被管勘智算脚本识别)</t>
        </is>
      </c>
      <c r="AC4" s="126" t="inlineStr">
        <is>
          <t>(不要被管勘智算脚本识别)</t>
        </is>
      </c>
      <c r="AD4" s="127" t="inlineStr">
        <is>
          <t>差值校验</t>
        </is>
      </c>
      <c r="AE4" s="127" t="inlineStr">
        <is>
          <t>差值校验</t>
        </is>
      </c>
      <c r="AF4" s="127" t="inlineStr">
        <is>
          <t>差值校验</t>
        </is>
      </c>
      <c r="AG4" s="128" t="inlineStr">
        <is>
          <t>单价111匹配-测试</t>
        </is>
      </c>
      <c r="AH4" s="128" t="inlineStr">
        <is>
          <t>实物111工作费调整系数-测试</t>
        </is>
      </c>
      <c r="AI4" s="128" t="inlineStr">
        <is>
          <t>技术111工作费调整系数-测试</t>
        </is>
      </c>
      <c r="AJ4" s="129" t="inlineStr">
        <is>
          <t>匹配报告预留位置</t>
        </is>
      </c>
      <c r="AK4" s="129" t="inlineStr">
        <is>
          <t>匹配状态</t>
        </is>
      </c>
      <c r="AL4" s="129" t="inlineStr">
        <is>
          <t>候选数量</t>
        </is>
      </c>
      <c r="AM4" s="129" t="inlineStr">
        <is>
          <t>匹配说明</t>
        </is>
      </c>
      <c r="AN4" s="129" t="inlineStr">
        <is>
          <t>匹配说明-实物工作费调整系数</t>
        </is>
      </c>
      <c r="AO4" s="129" t="inlineStr">
        <is>
          <t>匹配说明-技术工作费调整系数</t>
        </is>
      </c>
      <c r="AP4" s="150" t="inlineStr">
        <is>
          <t>数量(信息抓取)</t>
        </is>
      </c>
      <c r="AQ4" s="150" t="inlineStr">
        <is>
          <t>实物工作费调整系数(信息抓取)</t>
        </is>
      </c>
      <c r="AR4" s="150" t="inlineStr">
        <is>
          <t>实物工作费调整系数(信息抓取)</t>
        </is>
      </c>
      <c r="AS4" s="150" t="inlineStr">
        <is>
          <t>委托方备注(信息抓取)</t>
        </is>
      </c>
      <c r="AT4" s="150" t="inlineStr">
        <is>
          <t>抓取日志</t>
        </is>
      </c>
    </row>
    <row r="5" ht="48" customFormat="1" customHeight="1" s="47">
      <c r="A5" s="208" t="n">
        <v>1</v>
      </c>
      <c r="B5" s="209" t="inlineStr">
        <is>
          <t>勘探点测放</t>
        </is>
      </c>
      <c r="C5" s="304" t="n"/>
      <c r="D5" s="209" t="n"/>
      <c r="E5" s="16" t="n"/>
      <c r="F5" s="209" t="n"/>
      <c r="G5" s="209" t="inlineStr">
        <is>
          <t>组日</t>
        </is>
      </c>
      <c r="H5" s="305" t="n"/>
      <c r="I5" s="312" t="n">
        <v>10</v>
      </c>
      <c r="J5" s="312" t="n"/>
      <c r="K5" s="312" t="n"/>
      <c r="L5" s="312" t="n"/>
      <c r="M5" s="313" t="n"/>
      <c r="N5" s="314">
        <f>H5*I5*M5</f>
        <v/>
      </c>
      <c r="O5" s="208" t="inlineStr">
        <is>
          <t>甲级</t>
        </is>
      </c>
      <c r="P5" s="315" t="n"/>
      <c r="Q5" s="314">
        <f>N5*P5</f>
        <v/>
      </c>
      <c r="R5" s="314">
        <f>N5+Q5</f>
        <v/>
      </c>
      <c r="S5" s="312" t="n"/>
      <c r="T5" s="312" t="n"/>
      <c r="U5" s="114" t="n"/>
      <c r="W5" s="154" t="n"/>
      <c r="X5" s="116" t="n">
        <v>1000</v>
      </c>
      <c r="Y5" s="111" t="n"/>
      <c r="Z5" s="116" t="n">
        <v>1</v>
      </c>
      <c r="AA5" s="110" t="n"/>
      <c r="AB5" s="316" t="n"/>
      <c r="AC5" s="110" t="inlineStr">
        <is>
          <t>【第一层】【系数】要素1：勘探点测放。
系数：经验数为0</t>
        </is>
      </c>
      <c r="AD5" s="317">
        <f>H5+AG5-X5</f>
        <v/>
      </c>
      <c r="AE5" s="317">
        <f>M5+AH5-Z5</f>
        <v/>
      </c>
      <c r="AF5" s="317">
        <f>P5+AI5-AB5</f>
        <v/>
      </c>
      <c r="AG5" s="131" t="n"/>
      <c r="AH5" s="131" t="n"/>
      <c r="AI5" s="131" t="n"/>
      <c r="AJ5" s="131" t="n"/>
      <c r="AK5" s="131" t="n"/>
      <c r="AL5" s="131" t="n"/>
      <c r="AM5" s="131" t="n"/>
      <c r="AN5" s="131" t="n"/>
      <c r="AO5" s="131" t="n"/>
    </row>
    <row r="6" ht="84" customFormat="1" customHeight="1" s="47">
      <c r="A6" s="208" t="n">
        <v>2</v>
      </c>
      <c r="B6" s="209" t="inlineStr">
        <is>
          <t>岩土工程勘察</t>
        </is>
      </c>
      <c r="C6" s="220" t="inlineStr">
        <is>
          <t>钻探</t>
        </is>
      </c>
      <c r="D6" s="210" t="inlineStr">
        <is>
          <t>陆上</t>
        </is>
      </c>
      <c r="E6" s="216" t="inlineStr">
        <is>
          <t>D≤10</t>
        </is>
      </c>
      <c r="F6" s="208" t="inlineStr">
        <is>
          <t>Ⅲ</t>
        </is>
      </c>
      <c r="G6" s="312" t="inlineStr">
        <is>
          <t>m</t>
        </is>
      </c>
      <c r="H6" s="318" t="n"/>
      <c r="I6" s="312" t="n">
        <v>49</v>
      </c>
      <c r="J6" s="312" t="n"/>
      <c r="K6" s="312" t="n"/>
      <c r="L6" s="312" t="n"/>
      <c r="M6" s="313" t="n"/>
      <c r="N6" s="314">
        <f>H6*I6*M6</f>
        <v/>
      </c>
      <c r="O6" s="208" t="inlineStr">
        <is>
          <t>甲级</t>
        </is>
      </c>
      <c r="P6" s="315" t="n"/>
      <c r="Q6" s="314">
        <f>N6*P6</f>
        <v/>
      </c>
      <c r="R6" s="314">
        <f>N6+Q6</f>
        <v/>
      </c>
      <c r="S6" s="312" t="inlineStr">
        <is>
          <t>表3.3-2、表3.3-5</t>
        </is>
      </c>
      <c r="T6" s="312" t="inlineStr">
        <is>
          <t>泥浆护壁系数1.5</t>
        </is>
      </c>
      <c r="U6" s="114" t="n"/>
      <c r="W6" s="154" t="n"/>
      <c r="X6" s="116">
        <f>VLOOKUP(F6,{"Ⅰ","46";"Ⅱ","71";"Ⅲ","117";"Ⅳ","207";"Ⅴ","301";"Ⅵ","382"},2,0)</f>
        <v/>
      </c>
      <c r="Y6" s="319" t="n"/>
      <c r="Z6" s="116" t="n">
        <v>1.5</v>
      </c>
      <c r="AA6" s="319" t="inlineStr">
        <is>
          <t>泥浆护壁系数1.5</t>
        </is>
      </c>
      <c r="AB6" s="320">
        <f>VLOOKUP(O6,{"甲级","1.2";"乙级","1.0";"丙级","0.8"},2,0)</f>
        <v/>
      </c>
      <c r="AC6" s="110" t="inlineStr">
        <is>
          <t>【第一层】【系数】要素1：岩土工程勘察。
系数："甲级","1.2";"乙级","1.0";"丙级","0.8"</t>
        </is>
      </c>
      <c r="AD6" s="317">
        <f>H6+AG6-X6</f>
        <v/>
      </c>
      <c r="AE6" s="317">
        <f>M6+AH6-Z6</f>
        <v/>
      </c>
      <c r="AF6" s="317">
        <f>P6+AI6-AB6</f>
        <v/>
      </c>
      <c r="AG6" s="131" t="n"/>
      <c r="AH6" s="131" t="n"/>
      <c r="AI6" s="131" t="n"/>
      <c r="AJ6" s="131" t="n"/>
      <c r="AK6" s="131" t="n"/>
      <c r="AL6" s="131" t="n"/>
      <c r="AM6" s="131" t="n"/>
      <c r="AN6" s="131" t="n"/>
      <c r="AO6" s="131" t="n"/>
    </row>
    <row r="7" ht="48" customFormat="1" customHeight="1" s="47">
      <c r="A7" s="208" t="n">
        <v>3</v>
      </c>
      <c r="B7" s="321" t="n"/>
      <c r="C7" s="321" t="n"/>
      <c r="D7" s="321" t="n"/>
      <c r="E7" s="216" t="inlineStr">
        <is>
          <t>D≤10</t>
        </is>
      </c>
      <c r="F7" s="208" t="inlineStr">
        <is>
          <t>Ⅳ</t>
        </is>
      </c>
      <c r="G7" s="312" t="inlineStr">
        <is>
          <t>m</t>
        </is>
      </c>
      <c r="H7" s="318" t="n"/>
      <c r="I7" s="312" t="n">
        <v>121</v>
      </c>
      <c r="J7" s="312" t="n"/>
      <c r="K7" s="312" t="n"/>
      <c r="L7" s="312" t="n"/>
      <c r="M7" s="313" t="n"/>
      <c r="N7" s="314">
        <f>H7*I7*M7</f>
        <v/>
      </c>
      <c r="O7" s="208" t="inlineStr">
        <is>
          <t>甲级</t>
        </is>
      </c>
      <c r="P7" s="315" t="n"/>
      <c r="Q7" s="314">
        <f>N7*P7</f>
        <v/>
      </c>
      <c r="R7" s="314">
        <f>N7+Q7</f>
        <v/>
      </c>
      <c r="S7" s="312" t="inlineStr">
        <is>
          <t>表3.3-2、表3.3-5</t>
        </is>
      </c>
      <c r="T7" s="312" t="n"/>
      <c r="U7" s="114" t="n"/>
      <c r="W7" s="154" t="n"/>
      <c r="X7" s="116">
        <f>VLOOKUP(F7,{"Ⅰ","46";"Ⅱ","71";"Ⅲ","117";"Ⅳ","207";"Ⅴ","301";"Ⅵ","382"},2,0)</f>
        <v/>
      </c>
      <c r="Y7" s="319" t="inlineStr">
        <is>
          <t>钻探基价可以在《使用手册》第42页附近的钻探收费表中找到。【表3.3-2】</t>
        </is>
      </c>
      <c r="Z7" s="116" t="n">
        <v>1.5</v>
      </c>
      <c r="AA7" s="111" t="n"/>
      <c r="AB7" s="320">
        <f>VLOOKUP(O7,{"甲级","1.2";"乙级","1.0";"丙级","0.8"},2,0)</f>
        <v/>
      </c>
      <c r="AC7" s="111" t="n"/>
      <c r="AD7" s="317">
        <f>H7+AG7-X7</f>
        <v/>
      </c>
      <c r="AE7" s="317">
        <f>M7+AH7-Z7</f>
        <v/>
      </c>
      <c r="AF7" s="317">
        <f>P7+AI7-AB7</f>
        <v/>
      </c>
      <c r="AG7" s="131" t="n"/>
      <c r="AH7" s="131" t="n"/>
      <c r="AI7" s="131" t="n"/>
      <c r="AJ7" s="131" t="n"/>
      <c r="AK7" s="131" t="n"/>
      <c r="AL7" s="131" t="n"/>
      <c r="AM7" s="131" t="n"/>
      <c r="AN7" s="131" t="n"/>
      <c r="AO7" s="131" t="n"/>
    </row>
    <row r="8" ht="48" customFormat="1" customHeight="1" s="47">
      <c r="A8" s="208" t="n">
        <v>4</v>
      </c>
      <c r="B8" s="321" t="n"/>
      <c r="C8" s="321" t="n"/>
      <c r="D8" s="321" t="n"/>
      <c r="E8" s="216" t="inlineStr">
        <is>
          <t>D≤10</t>
        </is>
      </c>
      <c r="F8" s="208" t="inlineStr">
        <is>
          <t>Ⅵ</t>
        </is>
      </c>
      <c r="G8" s="312" t="inlineStr">
        <is>
          <t>m</t>
        </is>
      </c>
      <c r="H8" s="318" t="n"/>
      <c r="I8" s="312" t="n"/>
      <c r="J8" s="312" t="n"/>
      <c r="K8" s="312" t="n"/>
      <c r="L8" s="312" t="n"/>
      <c r="M8" s="313" t="n"/>
      <c r="N8" s="314">
        <f>H8*I8*M8</f>
        <v/>
      </c>
      <c r="O8" s="208" t="inlineStr">
        <is>
          <t>甲级</t>
        </is>
      </c>
      <c r="P8" s="315" t="n"/>
      <c r="Q8" s="314">
        <f>N8*P8</f>
        <v/>
      </c>
      <c r="R8" s="314">
        <f>N8+Q8</f>
        <v/>
      </c>
      <c r="S8" s="312" t="inlineStr">
        <is>
          <t>表3.3-2、表3.3-5</t>
        </is>
      </c>
      <c r="T8" s="312" t="n"/>
      <c r="U8" s="114" t="n"/>
      <c r="W8" s="154" t="n"/>
      <c r="X8" s="116">
        <f>VLOOKUP(F8,{"Ⅰ","46";"Ⅱ","71";"Ⅲ","117";"Ⅳ","207";"Ⅴ","301";"Ⅵ","382"},2,0)</f>
        <v/>
      </c>
      <c r="Y8" s="319" t="inlineStr">
        <is>
          <t>泥浆护壁附加系数可以在第48—49页附近的附加调整系数表中找到。【表3.3-5】</t>
        </is>
      </c>
      <c r="Z8" s="116" t="n">
        <v>1.5</v>
      </c>
      <c r="AA8" s="111" t="n"/>
      <c r="AB8" s="320">
        <f>VLOOKUP(O8,{"甲级","1.2";"乙级","1.0";"丙级","0.8"},2,0)</f>
        <v/>
      </c>
      <c r="AC8" s="111" t="n"/>
      <c r="AD8" s="317">
        <f>H8+AG8-X8</f>
        <v/>
      </c>
      <c r="AE8" s="317">
        <f>M8+AH8-Z8</f>
        <v/>
      </c>
      <c r="AF8" s="317">
        <f>P8+AI8-AB8</f>
        <v/>
      </c>
      <c r="AG8" s="131" t="n"/>
      <c r="AH8" s="131" t="n"/>
      <c r="AI8" s="131" t="n"/>
      <c r="AJ8" s="131" t="n"/>
      <c r="AK8" s="131" t="n"/>
      <c r="AL8" s="131" t="n"/>
      <c r="AM8" s="131" t="n"/>
      <c r="AN8" s="131" t="n"/>
      <c r="AO8" s="131" t="n"/>
    </row>
    <row r="9" ht="12" customFormat="1" customHeight="1" s="47">
      <c r="A9" s="208" t="n">
        <v>5</v>
      </c>
      <c r="B9" s="321" t="n"/>
      <c r="C9" s="321" t="n"/>
      <c r="D9" s="321" t="n"/>
      <c r="E9" s="216" t="inlineStr">
        <is>
          <t>10＜D≤20</t>
        </is>
      </c>
      <c r="F9" s="208" t="inlineStr">
        <is>
          <t>Ⅲ</t>
        </is>
      </c>
      <c r="G9" s="312" t="inlineStr">
        <is>
          <t>m</t>
        </is>
      </c>
      <c r="H9" s="318" t="n"/>
      <c r="I9" s="312" t="n"/>
      <c r="J9" s="312" t="n"/>
      <c r="K9" s="312" t="n"/>
      <c r="L9" s="312" t="n"/>
      <c r="M9" s="313" t="n"/>
      <c r="N9" s="314">
        <f>H9*I9*M9</f>
        <v/>
      </c>
      <c r="O9" s="208" t="inlineStr">
        <is>
          <t>甲级</t>
        </is>
      </c>
      <c r="P9" s="315" t="n"/>
      <c r="Q9" s="314">
        <f>N9*P9</f>
        <v/>
      </c>
      <c r="R9" s="314">
        <f>N9+Q9</f>
        <v/>
      </c>
      <c r="S9" s="312" t="inlineStr">
        <is>
          <t>表3.3-2、表3.3-5</t>
        </is>
      </c>
      <c r="T9" s="312" t="n"/>
      <c r="U9" s="114" t="n"/>
      <c r="W9" s="154" t="n"/>
      <c r="X9" s="116">
        <f>VLOOKUP(F9,{"Ⅰ","58";"Ⅱ","89";"Ⅲ","147";"Ⅳ","259";"Ⅴ","377";"Ⅵ","477"},2,0)</f>
        <v/>
      </c>
      <c r="Y9" s="111" t="n"/>
      <c r="Z9" s="116" t="n">
        <v>1.5</v>
      </c>
      <c r="AA9" s="111" t="n"/>
      <c r="AB9" s="320">
        <f>VLOOKUP(O9,{"甲级","1.2";"乙级","1.0";"丙级","0.8"},2,0)</f>
        <v/>
      </c>
      <c r="AC9" s="111" t="n"/>
      <c r="AD9" s="317">
        <f>H9+AG9-X9</f>
        <v/>
      </c>
      <c r="AE9" s="317">
        <f>M9+AH9-Z9</f>
        <v/>
      </c>
      <c r="AF9" s="317">
        <f>P9+AI9-AB9</f>
        <v/>
      </c>
      <c r="AG9" s="131" t="n"/>
      <c r="AH9" s="131" t="n"/>
      <c r="AI9" s="131" t="n"/>
      <c r="AJ9" s="131" t="n"/>
      <c r="AK9" s="131" t="n"/>
      <c r="AL9" s="131" t="n"/>
      <c r="AM9" s="131" t="n"/>
      <c r="AN9" s="131" t="n"/>
      <c r="AO9" s="131" t="n"/>
    </row>
    <row r="10" ht="12" customFormat="1" customHeight="1" s="47">
      <c r="A10" s="208" t="n">
        <v>6</v>
      </c>
      <c r="B10" s="321" t="n"/>
      <c r="C10" s="321" t="n"/>
      <c r="D10" s="321" t="n"/>
      <c r="E10" s="216" t="inlineStr">
        <is>
          <t>10＜D≤20</t>
        </is>
      </c>
      <c r="F10" s="208" t="inlineStr">
        <is>
          <t>Ⅳ</t>
        </is>
      </c>
      <c r="G10" s="312" t="inlineStr">
        <is>
          <t>m</t>
        </is>
      </c>
      <c r="H10" s="318" t="n"/>
      <c r="I10" s="312" t="n"/>
      <c r="J10" s="312" t="n"/>
      <c r="K10" s="312" t="n"/>
      <c r="L10" s="312" t="n"/>
      <c r="M10" s="313" t="n"/>
      <c r="N10" s="314">
        <f>H10*I10*M10</f>
        <v/>
      </c>
      <c r="O10" s="208" t="inlineStr">
        <is>
          <t>甲级</t>
        </is>
      </c>
      <c r="P10" s="315" t="n"/>
      <c r="Q10" s="314">
        <f>N10*P10</f>
        <v/>
      </c>
      <c r="R10" s="314">
        <f>N10+Q10</f>
        <v/>
      </c>
      <c r="S10" s="312" t="inlineStr">
        <is>
          <t>表3.3-2、表3.3-5</t>
        </is>
      </c>
      <c r="T10" s="312" t="n"/>
      <c r="U10" s="114" t="n"/>
      <c r="W10" s="154" t="n"/>
      <c r="X10" s="116">
        <f>VLOOKUP(F10,{"Ⅰ","58";"Ⅱ","89";"Ⅲ","147";"Ⅳ","259";"Ⅴ","377";"Ⅵ","477"},2,0)</f>
        <v/>
      </c>
      <c r="Y10" s="111" t="n"/>
      <c r="Z10" s="116" t="n">
        <v>1.5</v>
      </c>
      <c r="AA10" s="111" t="n"/>
      <c r="AB10" s="320">
        <f>VLOOKUP(O10,{"甲级","1.2";"乙级","1.0";"丙级","0.8"},2,0)</f>
        <v/>
      </c>
      <c r="AC10" s="111" t="n"/>
      <c r="AD10" s="317">
        <f>H10+AG10-X10</f>
        <v/>
      </c>
      <c r="AE10" s="317">
        <f>M10+AH10-Z10</f>
        <v/>
      </c>
      <c r="AF10" s="317">
        <f>P10+AI10-AB10</f>
        <v/>
      </c>
      <c r="AG10" s="131" t="n"/>
      <c r="AH10" s="131" t="n"/>
      <c r="AI10" s="131" t="n"/>
      <c r="AJ10" s="131" t="n"/>
      <c r="AK10" s="131" t="n"/>
      <c r="AL10" s="131" t="n"/>
      <c r="AM10" s="131" t="n"/>
      <c r="AN10" s="131" t="n"/>
      <c r="AO10" s="131" t="n"/>
    </row>
    <row r="11" ht="12" customFormat="1" customHeight="1" s="47">
      <c r="A11" s="208" t="n">
        <v>7</v>
      </c>
      <c r="B11" s="321" t="n"/>
      <c r="C11" s="321" t="n"/>
      <c r="D11" s="321" t="n"/>
      <c r="E11" s="216" t="inlineStr">
        <is>
          <t>10＜D≤20</t>
        </is>
      </c>
      <c r="F11" s="208" t="inlineStr">
        <is>
          <t>Ⅴ</t>
        </is>
      </c>
      <c r="G11" s="312" t="inlineStr">
        <is>
          <t>m</t>
        </is>
      </c>
      <c r="H11" s="318" t="n"/>
      <c r="I11" s="312" t="n">
        <v>50</v>
      </c>
      <c r="J11" s="312" t="n"/>
      <c r="K11" s="312" t="n"/>
      <c r="L11" s="312" t="n"/>
      <c r="M11" s="313" t="n"/>
      <c r="N11" s="314">
        <f>H11*I11*M11</f>
        <v/>
      </c>
      <c r="O11" s="208" t="inlineStr">
        <is>
          <t>甲级</t>
        </is>
      </c>
      <c r="P11" s="315" t="n"/>
      <c r="Q11" s="314">
        <f>N11*P11</f>
        <v/>
      </c>
      <c r="R11" s="314">
        <f>N11+Q11</f>
        <v/>
      </c>
      <c r="S11" s="312" t="inlineStr">
        <is>
          <t>表3.3-2、表3.3-5</t>
        </is>
      </c>
      <c r="T11" s="312" t="n"/>
      <c r="U11" s="114" t="n"/>
      <c r="W11" s="154" t="n"/>
      <c r="X11" s="116">
        <f>VLOOKUP(F11,{"Ⅰ","58";"Ⅱ","89";"Ⅲ","147";"Ⅳ","259";"Ⅴ","377";"Ⅵ","477"},2,0)</f>
        <v/>
      </c>
      <c r="Y11" s="111" t="n"/>
      <c r="Z11" s="116" t="n">
        <v>1.5</v>
      </c>
      <c r="AA11" s="111" t="n"/>
      <c r="AB11" s="320">
        <f>VLOOKUP(O11,{"甲级","1.2";"乙级","1.0";"丙级","0.8"},2,0)</f>
        <v/>
      </c>
      <c r="AC11" s="111" t="n"/>
      <c r="AD11" s="317">
        <f>H11+AG11-X11</f>
        <v/>
      </c>
      <c r="AE11" s="317">
        <f>M11+AH11-Z11</f>
        <v/>
      </c>
      <c r="AF11" s="317">
        <f>P11+AI11-AB11</f>
        <v/>
      </c>
      <c r="AG11" s="131" t="n"/>
      <c r="AH11" s="131" t="n"/>
      <c r="AI11" s="131" t="n"/>
      <c r="AJ11" s="131" t="n"/>
      <c r="AK11" s="131" t="n"/>
      <c r="AL11" s="131" t="n"/>
      <c r="AM11" s="131" t="n"/>
      <c r="AN11" s="131" t="n"/>
      <c r="AO11" s="131" t="n"/>
    </row>
    <row r="12" ht="12" customFormat="1" customHeight="1" s="47">
      <c r="A12" s="208" t="n">
        <v>8</v>
      </c>
      <c r="B12" s="321" t="n"/>
      <c r="C12" s="321" t="n"/>
      <c r="D12" s="321" t="n"/>
      <c r="E12" s="216" t="inlineStr">
        <is>
          <t>20＜D≤30</t>
        </is>
      </c>
      <c r="F12" s="208" t="inlineStr">
        <is>
          <t>Ⅳ</t>
        </is>
      </c>
      <c r="G12" s="312" t="inlineStr">
        <is>
          <t>m</t>
        </is>
      </c>
      <c r="H12" s="318" t="n"/>
      <c r="I12" s="312" t="n">
        <v>30</v>
      </c>
      <c r="J12" s="312" t="n"/>
      <c r="K12" s="312" t="n"/>
      <c r="L12" s="312" t="n"/>
      <c r="M12" s="313" t="n"/>
      <c r="N12" s="314">
        <f>H12*I12*M12</f>
        <v/>
      </c>
      <c r="O12" s="208" t="inlineStr">
        <is>
          <t>甲级</t>
        </is>
      </c>
      <c r="P12" s="315" t="n"/>
      <c r="Q12" s="314">
        <f>N12*P12</f>
        <v/>
      </c>
      <c r="R12" s="314">
        <f>N12+Q12</f>
        <v/>
      </c>
      <c r="S12" s="312" t="inlineStr">
        <is>
          <t>表3.3-2、表3.3-5</t>
        </is>
      </c>
      <c r="T12" s="312" t="n"/>
      <c r="U12" s="114" t="n"/>
      <c r="W12" s="154" t="n"/>
      <c r="X12" s="116">
        <f>VLOOKUP(F12,{"Ⅰ","69";"Ⅱ","107";"Ⅲ","176";"Ⅳ","311";"Ⅴ","452";"Ⅵ","573"},2,0)</f>
        <v/>
      </c>
      <c r="Y12" s="111" t="n"/>
      <c r="Z12" s="116" t="n">
        <v>1.5</v>
      </c>
      <c r="AA12" s="111" t="n"/>
      <c r="AB12" s="320">
        <f>VLOOKUP(O12,{"甲级","1.2";"乙级","1.0";"丙级","0.8"},2,0)</f>
        <v/>
      </c>
      <c r="AC12" s="111" t="n"/>
      <c r="AD12" s="317">
        <f>H12+AG12-X12</f>
        <v/>
      </c>
      <c r="AE12" s="317">
        <f>M12+AH12-Z12</f>
        <v/>
      </c>
      <c r="AF12" s="317">
        <f>P12+AI12-AB12</f>
        <v/>
      </c>
      <c r="AG12" s="131" t="n"/>
      <c r="AH12" s="131" t="n"/>
      <c r="AI12" s="131" t="n"/>
      <c r="AJ12" s="131" t="n"/>
      <c r="AK12" s="131" t="n"/>
      <c r="AL12" s="131" t="n"/>
      <c r="AM12" s="131" t="n"/>
      <c r="AN12" s="131" t="n"/>
      <c r="AO12" s="131" t="n"/>
    </row>
    <row r="13" ht="12" customFormat="1" customHeight="1" s="47">
      <c r="A13" s="208" t="n">
        <v>9</v>
      </c>
      <c r="B13" s="321" t="n"/>
      <c r="C13" s="321" t="n"/>
      <c r="D13" s="321" t="n"/>
      <c r="E13" s="216" t="inlineStr">
        <is>
          <t>20＜D≤30</t>
        </is>
      </c>
      <c r="F13" s="208" t="inlineStr">
        <is>
          <t>Ⅴ</t>
        </is>
      </c>
      <c r="G13" s="312" t="inlineStr">
        <is>
          <t>m</t>
        </is>
      </c>
      <c r="H13" s="318" t="n"/>
      <c r="I13" s="312" t="n">
        <v>100</v>
      </c>
      <c r="J13" s="312" t="n"/>
      <c r="K13" s="312" t="n"/>
      <c r="L13" s="312" t="n"/>
      <c r="M13" s="313" t="n"/>
      <c r="N13" s="314">
        <f>H13*I13*M13</f>
        <v/>
      </c>
      <c r="O13" s="208" t="inlineStr">
        <is>
          <t>甲级</t>
        </is>
      </c>
      <c r="P13" s="315" t="n"/>
      <c r="Q13" s="314">
        <f>N13*P13</f>
        <v/>
      </c>
      <c r="R13" s="314">
        <f>N13+Q13</f>
        <v/>
      </c>
      <c r="S13" s="312" t="inlineStr">
        <is>
          <t>表3.3-2、表3.3-5</t>
        </is>
      </c>
      <c r="T13" s="312" t="n"/>
      <c r="U13" s="114" t="n"/>
      <c r="W13" s="154" t="n"/>
      <c r="X13" s="116">
        <f>VLOOKUP(F13,{"Ⅰ","69";"Ⅱ","107";"Ⅲ","176";"Ⅳ","311";"Ⅴ","452";"Ⅵ","573"},2,0)</f>
        <v/>
      </c>
      <c r="Y13" s="111" t="n"/>
      <c r="Z13" s="116" t="n">
        <v>1.5</v>
      </c>
      <c r="AA13" s="111" t="n"/>
      <c r="AB13" s="320">
        <f>VLOOKUP(O13,{"甲级","1.2";"乙级","1.0";"丙级","0.8"},2,0)</f>
        <v/>
      </c>
      <c r="AC13" s="111" t="n"/>
      <c r="AD13" s="317">
        <f>H13+AG13-X13</f>
        <v/>
      </c>
      <c r="AE13" s="317">
        <f>M13+AH13-Z13</f>
        <v/>
      </c>
      <c r="AF13" s="317">
        <f>P13+AI13-AB13</f>
        <v/>
      </c>
      <c r="AG13" s="131" t="n"/>
      <c r="AH13" s="131" t="n"/>
      <c r="AI13" s="131" t="n"/>
      <c r="AJ13" s="131" t="n"/>
      <c r="AK13" s="131" t="n"/>
      <c r="AL13" s="131" t="n"/>
      <c r="AM13" s="131" t="n"/>
      <c r="AN13" s="131" t="n"/>
      <c r="AO13" s="131" t="n"/>
    </row>
    <row r="14" ht="12" customFormat="1" customHeight="1" s="47">
      <c r="A14" s="208" t="n">
        <v>10</v>
      </c>
      <c r="B14" s="321" t="n"/>
      <c r="C14" s="321" t="n"/>
      <c r="D14" s="321" t="n"/>
      <c r="E14" s="216" t="inlineStr">
        <is>
          <t>20＜D≤30</t>
        </is>
      </c>
      <c r="F14" s="208" t="inlineStr">
        <is>
          <t>Ⅵ</t>
        </is>
      </c>
      <c r="G14" s="312" t="inlineStr">
        <is>
          <t>m</t>
        </is>
      </c>
      <c r="H14" s="318" t="n"/>
      <c r="I14" s="312" t="n">
        <v>40</v>
      </c>
      <c r="J14" s="312" t="n"/>
      <c r="K14" s="312" t="n"/>
      <c r="L14" s="312" t="n"/>
      <c r="M14" s="313" t="n"/>
      <c r="N14" s="314">
        <f>H14*I14*M14</f>
        <v/>
      </c>
      <c r="O14" s="208" t="inlineStr">
        <is>
          <t>甲级</t>
        </is>
      </c>
      <c r="P14" s="315" t="n"/>
      <c r="Q14" s="314">
        <f>N14*P14</f>
        <v/>
      </c>
      <c r="R14" s="314">
        <f>N14+Q14</f>
        <v/>
      </c>
      <c r="S14" s="312" t="inlineStr">
        <is>
          <t>表3.3-2、表3.3-5</t>
        </is>
      </c>
      <c r="T14" s="312" t="n"/>
      <c r="U14" s="114" t="n"/>
      <c r="W14" s="154" t="n"/>
      <c r="X14" s="116">
        <f>VLOOKUP(F14,{"Ⅰ","69";"Ⅱ","107";"Ⅲ","176";"Ⅳ","311";"Ⅴ","452";"Ⅵ","573"},2,0)</f>
        <v/>
      </c>
      <c r="Y14" s="111" t="n"/>
      <c r="Z14" s="116" t="n">
        <v>1.5</v>
      </c>
      <c r="AA14" s="111" t="n"/>
      <c r="AB14" s="320">
        <f>VLOOKUP(O14,{"甲级","1.2";"乙级","1.0";"丙级","0.8"},2,0)</f>
        <v/>
      </c>
      <c r="AC14" s="111" t="n"/>
      <c r="AD14" s="317">
        <f>H14+AG14-X14</f>
        <v/>
      </c>
      <c r="AE14" s="317">
        <f>M14+AH14-Z14</f>
        <v/>
      </c>
      <c r="AF14" s="317">
        <f>P14+AI14-AB14</f>
        <v/>
      </c>
      <c r="AG14" s="131" t="n"/>
      <c r="AH14" s="131" t="n"/>
      <c r="AI14" s="131" t="n"/>
      <c r="AJ14" s="131" t="n"/>
      <c r="AK14" s="131" t="n"/>
      <c r="AL14" s="131" t="n"/>
      <c r="AM14" s="131" t="n"/>
      <c r="AN14" s="131" t="n"/>
      <c r="AO14" s="131" t="n"/>
    </row>
    <row r="15" ht="12" customFormat="1" customHeight="1" s="47">
      <c r="A15" s="208" t="n">
        <v>11</v>
      </c>
      <c r="B15" s="321" t="n"/>
      <c r="C15" s="321" t="n"/>
      <c r="D15" s="321" t="n"/>
      <c r="E15" s="216" t="inlineStr">
        <is>
          <t>30＜D≤40</t>
        </is>
      </c>
      <c r="F15" s="208" t="inlineStr">
        <is>
          <t>Ⅴ</t>
        </is>
      </c>
      <c r="G15" s="312" t="inlineStr">
        <is>
          <t>m</t>
        </is>
      </c>
      <c r="H15" s="318" t="n"/>
      <c r="I15" s="312" t="n">
        <v>130</v>
      </c>
      <c r="J15" s="312" t="n"/>
      <c r="K15" s="312" t="n"/>
      <c r="L15" s="312" t="n"/>
      <c r="M15" s="313" t="n"/>
      <c r="N15" s="314">
        <f>H15*I15*M15</f>
        <v/>
      </c>
      <c r="O15" s="208" t="inlineStr">
        <is>
          <t>甲级</t>
        </is>
      </c>
      <c r="P15" s="315" t="n"/>
      <c r="Q15" s="314">
        <f>N15*P15</f>
        <v/>
      </c>
      <c r="R15" s="314">
        <f>N15+Q15</f>
        <v/>
      </c>
      <c r="S15" s="312" t="inlineStr">
        <is>
          <t>表3.3-2、表3.3-5</t>
        </is>
      </c>
      <c r="T15" s="312" t="n"/>
      <c r="U15" s="114" t="n"/>
      <c r="W15" s="154" t="n"/>
      <c r="X15" s="116">
        <f>VLOOKUP(F15,{"Ⅰ","82";"Ⅱ","127";"Ⅲ","209";"Ⅳ","368";"Ⅴ","536";"Ⅵ","680"},2,0)</f>
        <v/>
      </c>
      <c r="Y15" s="111" t="n"/>
      <c r="Z15" s="116" t="n">
        <v>1.5</v>
      </c>
      <c r="AA15" s="111" t="n"/>
      <c r="AB15" s="320">
        <f>VLOOKUP(O15,{"甲级","1.2";"乙级","1.0";"丙级","0.8"},2,0)</f>
        <v/>
      </c>
      <c r="AC15" s="111" t="n"/>
      <c r="AD15" s="317">
        <f>H15+AG15-X15</f>
        <v/>
      </c>
      <c r="AE15" s="317">
        <f>M15+AH15-Z15</f>
        <v/>
      </c>
      <c r="AF15" s="317">
        <f>P15+AI15-AB15</f>
        <v/>
      </c>
      <c r="AG15" s="131" t="n"/>
      <c r="AH15" s="131" t="n"/>
      <c r="AI15" s="131" t="n"/>
      <c r="AJ15" s="131" t="n"/>
      <c r="AK15" s="131" t="n"/>
      <c r="AL15" s="131" t="n"/>
      <c r="AM15" s="131" t="n"/>
      <c r="AN15" s="131" t="n"/>
      <c r="AO15" s="131" t="n"/>
    </row>
    <row r="16" ht="12" customFormat="1" customHeight="1" s="47">
      <c r="A16" s="208" t="n">
        <v>12</v>
      </c>
      <c r="B16" s="321" t="n"/>
      <c r="C16" s="321" t="n"/>
      <c r="D16" s="321" t="n"/>
      <c r="E16" s="216" t="inlineStr">
        <is>
          <t>30＜D≤40</t>
        </is>
      </c>
      <c r="F16" s="208" t="inlineStr">
        <is>
          <t>Ⅵ</t>
        </is>
      </c>
      <c r="G16" s="312" t="inlineStr">
        <is>
          <t>m</t>
        </is>
      </c>
      <c r="H16" s="318" t="n"/>
      <c r="I16" s="312" t="n">
        <v>40</v>
      </c>
      <c r="J16" s="312" t="n"/>
      <c r="K16" s="312" t="n"/>
      <c r="L16" s="312" t="n"/>
      <c r="M16" s="313" t="n"/>
      <c r="N16" s="314">
        <f>H16*I16*M16</f>
        <v/>
      </c>
      <c r="O16" s="208" t="inlineStr">
        <is>
          <t>甲级</t>
        </is>
      </c>
      <c r="P16" s="315" t="n"/>
      <c r="Q16" s="314">
        <f>N16*P16</f>
        <v/>
      </c>
      <c r="R16" s="314">
        <f>N16+Q16</f>
        <v/>
      </c>
      <c r="S16" s="312" t="inlineStr">
        <is>
          <t>表3.3-2、表3.3-5</t>
        </is>
      </c>
      <c r="T16" s="312" t="n"/>
      <c r="U16" s="114" t="n"/>
      <c r="W16" s="154" t="n"/>
      <c r="X16" s="116">
        <f>VLOOKUP(F16,{"Ⅰ","82";"Ⅱ","127";"Ⅲ","209";"Ⅳ","368";"Ⅴ","536";"Ⅵ","680"},2,0)</f>
        <v/>
      </c>
      <c r="Y16" s="322" t="n"/>
      <c r="Z16" s="116" t="n">
        <v>1.5</v>
      </c>
      <c r="AA16" s="322" t="n"/>
      <c r="AB16" s="320">
        <f>VLOOKUP(O16,{"甲级","1.2";"乙级","1.0";"丙级","0.8"},2,0)</f>
        <v/>
      </c>
      <c r="AC16" s="322" t="n"/>
      <c r="AD16" s="317">
        <f>H16+AG16-X16</f>
        <v/>
      </c>
      <c r="AE16" s="317">
        <f>M16+AH16-Z16</f>
        <v/>
      </c>
      <c r="AF16" s="317">
        <f>P16+AI16-AB16</f>
        <v/>
      </c>
      <c r="AG16" s="131" t="n"/>
      <c r="AH16" s="131" t="n"/>
      <c r="AI16" s="131" t="n"/>
      <c r="AJ16" s="131" t="n"/>
      <c r="AK16" s="131" t="n"/>
      <c r="AL16" s="131" t="n"/>
      <c r="AM16" s="131" t="n"/>
      <c r="AN16" s="131" t="n"/>
      <c r="AO16" s="131" t="n"/>
    </row>
    <row r="17" ht="12" customFormat="1" customHeight="1" s="47">
      <c r="A17" s="208" t="n">
        <v>13</v>
      </c>
      <c r="B17" s="321" t="n"/>
      <c r="C17" s="321" t="n"/>
      <c r="D17" s="321" t="n"/>
      <c r="E17" s="216" t="inlineStr">
        <is>
          <t>40＜D≤50</t>
        </is>
      </c>
      <c r="F17" s="208" t="inlineStr">
        <is>
          <t>Ⅴ</t>
        </is>
      </c>
      <c r="G17" s="312" t="inlineStr">
        <is>
          <t>m</t>
        </is>
      </c>
      <c r="H17" s="318" t="n"/>
      <c r="I17" s="312" t="n">
        <v>90</v>
      </c>
      <c r="J17" s="312" t="n"/>
      <c r="K17" s="312" t="n"/>
      <c r="L17" s="312" t="n"/>
      <c r="M17" s="313" t="n"/>
      <c r="N17" s="314">
        <f>H17*I17*M17</f>
        <v/>
      </c>
      <c r="O17" s="208" t="inlineStr">
        <is>
          <t>甲级</t>
        </is>
      </c>
      <c r="P17" s="315" t="n"/>
      <c r="Q17" s="314">
        <f>N17*P17</f>
        <v/>
      </c>
      <c r="R17" s="314">
        <f>N17+Q17</f>
        <v/>
      </c>
      <c r="S17" s="312" t="inlineStr">
        <is>
          <t>表3.3-2、表3.3-5</t>
        </is>
      </c>
      <c r="T17" s="312" t="n"/>
      <c r="U17" s="114" t="n"/>
      <c r="W17" s="154" t="n"/>
      <c r="X17" s="116">
        <f>VLOOKUP(F17,{"Ⅰ","98";"Ⅱ","151";"Ⅲ","249";"Ⅳ","439";"Ⅴ","639";"Ⅵ","809"},2,0)</f>
        <v/>
      </c>
      <c r="Y17" s="322" t="n"/>
      <c r="Z17" s="116" t="n">
        <v>1.5</v>
      </c>
      <c r="AA17" s="322" t="n"/>
      <c r="AB17" s="320">
        <f>VLOOKUP(O17,{"甲级","1.2";"乙级","1.0";"丙级","0.8"},2,0)</f>
        <v/>
      </c>
      <c r="AC17" s="111" t="n"/>
      <c r="AD17" s="317">
        <f>H17+AG17-X17</f>
        <v/>
      </c>
      <c r="AE17" s="317">
        <f>M17+AH17-Z17</f>
        <v/>
      </c>
      <c r="AF17" s="317">
        <f>P17+AI17-AB17</f>
        <v/>
      </c>
      <c r="AG17" s="131" t="n"/>
      <c r="AH17" s="131" t="n"/>
      <c r="AI17" s="131" t="n"/>
      <c r="AJ17" s="131" t="n"/>
      <c r="AK17" s="131" t="n"/>
      <c r="AL17" s="131" t="n"/>
      <c r="AM17" s="131" t="n"/>
      <c r="AN17" s="131" t="n"/>
      <c r="AO17" s="131" t="n"/>
    </row>
    <row r="18" ht="12" customFormat="1" customHeight="1" s="47">
      <c r="A18" s="208" t="n">
        <v>14</v>
      </c>
      <c r="B18" s="321" t="n"/>
      <c r="C18" s="321" t="n"/>
      <c r="D18" s="321" t="n"/>
      <c r="E18" s="216" t="inlineStr">
        <is>
          <t>40＜D≤50</t>
        </is>
      </c>
      <c r="F18" s="208" t="inlineStr">
        <is>
          <t>Ⅵ</t>
        </is>
      </c>
      <c r="G18" s="312" t="inlineStr">
        <is>
          <t>m</t>
        </is>
      </c>
      <c r="H18" s="318" t="n"/>
      <c r="I18" s="312" t="n">
        <v>80</v>
      </c>
      <c r="J18" s="312" t="n"/>
      <c r="K18" s="312" t="n"/>
      <c r="L18" s="312" t="n"/>
      <c r="M18" s="313" t="n"/>
      <c r="N18" s="314">
        <f>H18*I18*M18</f>
        <v/>
      </c>
      <c r="O18" s="208" t="inlineStr">
        <is>
          <t>甲级</t>
        </is>
      </c>
      <c r="P18" s="315" t="n"/>
      <c r="Q18" s="314">
        <f>N18*P18</f>
        <v/>
      </c>
      <c r="R18" s="314">
        <f>N18+Q18</f>
        <v/>
      </c>
      <c r="S18" s="312" t="inlineStr">
        <is>
          <t>表3.3-2、表3.3-5</t>
        </is>
      </c>
      <c r="T18" s="312" t="n"/>
      <c r="U18" s="114" t="n"/>
      <c r="W18" s="154" t="n"/>
      <c r="X18" s="116">
        <f>VLOOKUP(F18,{"Ⅰ","98";"Ⅱ","151";"Ⅲ","249";"Ⅳ","439";"Ⅴ","639";"Ⅵ","809"},2,0)</f>
        <v/>
      </c>
      <c r="Y18" s="322" t="n"/>
      <c r="Z18" s="116" t="n">
        <v>1.5</v>
      </c>
      <c r="AA18" s="111" t="n"/>
      <c r="AB18" s="320">
        <f>VLOOKUP(O18,{"甲级","1.2";"乙级","1.0";"丙级","0.8"},2,0)</f>
        <v/>
      </c>
      <c r="AC18" s="111" t="n"/>
      <c r="AD18" s="317">
        <f>H18+AG18-X18</f>
        <v/>
      </c>
      <c r="AE18" s="317">
        <f>M18+AH18-Z18</f>
        <v/>
      </c>
      <c r="AF18" s="317">
        <f>P18+AI18-AB18</f>
        <v/>
      </c>
      <c r="AG18" s="131" t="n"/>
      <c r="AH18" s="131" t="n"/>
      <c r="AI18" s="131" t="n"/>
      <c r="AJ18" s="131" t="n"/>
      <c r="AK18" s="131" t="n"/>
      <c r="AL18" s="131" t="n"/>
      <c r="AM18" s="131" t="n"/>
      <c r="AN18" s="131" t="n"/>
      <c r="AO18" s="131" t="n"/>
    </row>
    <row r="19" ht="12" customFormat="1" customHeight="1" s="47">
      <c r="A19" s="208" t="n">
        <v>15</v>
      </c>
      <c r="B19" s="321" t="n"/>
      <c r="C19" s="321" t="n"/>
      <c r="D19" s="321" t="n"/>
      <c r="E19" s="216" t="inlineStr">
        <is>
          <t>50＜D≤60</t>
        </is>
      </c>
      <c r="F19" s="208" t="inlineStr">
        <is>
          <t>Ⅴ</t>
        </is>
      </c>
      <c r="G19" s="312" t="inlineStr">
        <is>
          <t>m</t>
        </is>
      </c>
      <c r="H19" s="318" t="n"/>
      <c r="I19" s="312" t="n">
        <v>70</v>
      </c>
      <c r="J19" s="312" t="n"/>
      <c r="K19" s="312" t="n"/>
      <c r="L19" s="312" t="n"/>
      <c r="M19" s="313" t="n"/>
      <c r="N19" s="314">
        <f>H19*I19*M19</f>
        <v/>
      </c>
      <c r="O19" s="208" t="inlineStr">
        <is>
          <t>甲级</t>
        </is>
      </c>
      <c r="P19" s="315" t="n"/>
      <c r="Q19" s="314">
        <f>N19*P19</f>
        <v/>
      </c>
      <c r="R19" s="314">
        <f>N19+Q19</f>
        <v/>
      </c>
      <c r="S19" s="312" t="inlineStr">
        <is>
          <t>表3.3-2、表3.3-5</t>
        </is>
      </c>
      <c r="T19" s="312" t="n"/>
      <c r="U19" s="114" t="n"/>
      <c r="W19" s="154" t="n"/>
      <c r="X19" s="116">
        <f>VLOOKUP(F19,{"Ⅰ","109";"Ⅱ","168";"Ⅲ","277";"Ⅳ","489";"Ⅴ","711";"Ⅵ","901"},2,0)</f>
        <v/>
      </c>
      <c r="Y19" s="111" t="n"/>
      <c r="Z19" s="116" t="n">
        <v>1.5</v>
      </c>
      <c r="AA19" s="111" t="n"/>
      <c r="AB19" s="320">
        <f>VLOOKUP(O19,{"甲级","1.2";"乙级","1.0";"丙级","0.8"},2,0)</f>
        <v/>
      </c>
      <c r="AC19" s="322" t="n"/>
      <c r="AD19" s="317">
        <f>H19+AG19-X19</f>
        <v/>
      </c>
      <c r="AE19" s="317">
        <f>M19+AH19-Z19</f>
        <v/>
      </c>
      <c r="AF19" s="317">
        <f>P19+AI19-AB19</f>
        <v/>
      </c>
      <c r="AG19" s="131" t="n"/>
      <c r="AH19" s="131" t="n"/>
      <c r="AI19" s="131" t="n"/>
      <c r="AJ19" s="131" t="n"/>
      <c r="AK19" s="131" t="n"/>
      <c r="AL19" s="131" t="n"/>
      <c r="AM19" s="131" t="n"/>
      <c r="AN19" s="131" t="n"/>
      <c r="AO19" s="131" t="n"/>
    </row>
    <row r="20" ht="12" customFormat="1" customHeight="1" s="47">
      <c r="A20" s="208" t="n">
        <v>16</v>
      </c>
      <c r="B20" s="321" t="n"/>
      <c r="C20" s="321" t="n"/>
      <c r="D20" s="321" t="n"/>
      <c r="E20" s="216" t="inlineStr">
        <is>
          <t>50＜D≤60</t>
        </is>
      </c>
      <c r="F20" s="208" t="inlineStr">
        <is>
          <t>Ⅵ</t>
        </is>
      </c>
      <c r="G20" s="312" t="inlineStr">
        <is>
          <t>m</t>
        </is>
      </c>
      <c r="H20" s="318" t="n"/>
      <c r="I20" s="312" t="n">
        <v>40</v>
      </c>
      <c r="J20" s="312" t="n"/>
      <c r="K20" s="312" t="n"/>
      <c r="L20" s="312" t="n"/>
      <c r="M20" s="313" t="n"/>
      <c r="N20" s="314">
        <f>H20*I20*M20</f>
        <v/>
      </c>
      <c r="O20" s="208" t="inlineStr">
        <is>
          <t>甲级</t>
        </is>
      </c>
      <c r="P20" s="315" t="n"/>
      <c r="Q20" s="314">
        <f>N20*P20</f>
        <v/>
      </c>
      <c r="R20" s="314">
        <f>N20+Q20</f>
        <v/>
      </c>
      <c r="S20" s="312" t="inlineStr">
        <is>
          <t>表3.3-2、表3.3-5</t>
        </is>
      </c>
      <c r="T20" s="312" t="n"/>
      <c r="U20" s="114" t="n"/>
      <c r="W20" s="154" t="n"/>
      <c r="X20" s="116">
        <f>VLOOKUP(F20,{"Ⅰ","109";"Ⅱ","168";"Ⅲ","277";"Ⅳ","489";"Ⅴ","711";"Ⅵ","901"},2,0)</f>
        <v/>
      </c>
      <c r="Y20" s="111" t="n"/>
      <c r="Z20" s="116" t="n">
        <v>1.5</v>
      </c>
      <c r="AA20" s="111" t="n"/>
      <c r="AB20" s="320">
        <f>VLOOKUP(O20,{"甲级","1.2";"乙级","1.0";"丙级","0.8"},2,0)</f>
        <v/>
      </c>
      <c r="AC20" s="118" t="n"/>
      <c r="AD20" s="317">
        <f>H20+AG20-X20</f>
        <v/>
      </c>
      <c r="AE20" s="317">
        <f>M20+AH20-Z20</f>
        <v/>
      </c>
      <c r="AF20" s="317">
        <f>P20+AI20-AB20</f>
        <v/>
      </c>
      <c r="AG20" s="131" t="n"/>
      <c r="AH20" s="131" t="n"/>
      <c r="AI20" s="131" t="n"/>
      <c r="AJ20" s="131" t="n"/>
      <c r="AK20" s="131" t="n"/>
      <c r="AL20" s="131" t="n"/>
      <c r="AM20" s="131" t="n"/>
      <c r="AN20" s="131" t="n"/>
      <c r="AO20" s="131" t="n"/>
    </row>
    <row r="21" ht="12" customFormat="1" customHeight="1" s="47">
      <c r="A21" s="208" t="n">
        <v>17</v>
      </c>
      <c r="B21" s="321" t="n"/>
      <c r="C21" s="321" t="n"/>
      <c r="D21" s="321" t="n"/>
      <c r="E21" s="216" t="inlineStr">
        <is>
          <t>60＜D≤80</t>
        </is>
      </c>
      <c r="F21" s="208" t="inlineStr">
        <is>
          <t>Ⅴ</t>
        </is>
      </c>
      <c r="G21" s="312" t="inlineStr">
        <is>
          <t>m</t>
        </is>
      </c>
      <c r="H21" s="318" t="n"/>
      <c r="I21" s="312" t="n">
        <v>10</v>
      </c>
      <c r="J21" s="312" t="n"/>
      <c r="K21" s="312" t="n"/>
      <c r="L21" s="312" t="n"/>
      <c r="M21" s="313" t="n"/>
      <c r="N21" s="314">
        <f>H21*I21*M21</f>
        <v/>
      </c>
      <c r="O21" s="208" t="inlineStr">
        <is>
          <t>甲级</t>
        </is>
      </c>
      <c r="P21" s="315" t="n"/>
      <c r="Q21" s="314">
        <f>N21*P21</f>
        <v/>
      </c>
      <c r="R21" s="314">
        <f>N21+Q21</f>
        <v/>
      </c>
      <c r="S21" s="312" t="inlineStr">
        <is>
          <t>表3.3-2、表3.3-5</t>
        </is>
      </c>
      <c r="T21" s="312" t="n"/>
      <c r="U21" s="114" t="n"/>
      <c r="W21" s="154" t="n"/>
      <c r="X21" s="116">
        <f>VLOOKUP(F21,{"Ⅰ","121";"Ⅱ","187";"Ⅲ","307";"Ⅳ","542";"Ⅴ","789";"Ⅵ","1000"},2,0)</f>
        <v/>
      </c>
      <c r="Y21" s="111" t="n"/>
      <c r="Z21" s="116" t="n">
        <v>1.5</v>
      </c>
      <c r="AA21" s="111" t="n"/>
      <c r="AB21" s="320">
        <f>VLOOKUP(O21,{"甲级","1.2";"乙级","1.0";"丙级","0.8"},2,0)</f>
        <v/>
      </c>
      <c r="AC21" s="111" t="n"/>
      <c r="AD21" s="317">
        <f>H21+AG21-X21</f>
        <v/>
      </c>
      <c r="AE21" s="317">
        <f>M21+AH21-Z21</f>
        <v/>
      </c>
      <c r="AF21" s="317">
        <f>P21+AI21-AB21</f>
        <v/>
      </c>
      <c r="AG21" s="131" t="n"/>
      <c r="AH21" s="131" t="n"/>
      <c r="AI21" s="131" t="n"/>
      <c r="AJ21" s="131" t="n"/>
      <c r="AK21" s="131" t="n"/>
      <c r="AL21" s="131" t="n"/>
      <c r="AM21" s="131" t="n"/>
      <c r="AN21" s="131" t="n"/>
      <c r="AO21" s="131" t="n"/>
    </row>
    <row r="22" ht="12" customFormat="1" customHeight="1" s="47">
      <c r="A22" s="208" t="n">
        <v>18</v>
      </c>
      <c r="B22" s="321" t="n"/>
      <c r="C22" s="321" t="n"/>
      <c r="D22" s="321" t="n"/>
      <c r="E22" s="216" t="inlineStr">
        <is>
          <t>60＜D≤80</t>
        </is>
      </c>
      <c r="F22" s="208" t="inlineStr">
        <is>
          <t>Ⅵ</t>
        </is>
      </c>
      <c r="G22" s="312" t="inlineStr">
        <is>
          <t>m</t>
        </is>
      </c>
      <c r="H22" s="318" t="n"/>
      <c r="I22" s="312" t="n">
        <v>180</v>
      </c>
      <c r="J22" s="312" t="n"/>
      <c r="K22" s="312" t="n"/>
      <c r="L22" s="312" t="n"/>
      <c r="M22" s="313" t="n"/>
      <c r="N22" s="314">
        <f>H22*I22*M22</f>
        <v/>
      </c>
      <c r="O22" s="208" t="inlineStr">
        <is>
          <t>甲级</t>
        </is>
      </c>
      <c r="P22" s="315" t="n"/>
      <c r="Q22" s="314">
        <f>N22*P22</f>
        <v/>
      </c>
      <c r="R22" s="314">
        <f>N22+Q22</f>
        <v/>
      </c>
      <c r="S22" s="312" t="inlineStr">
        <is>
          <t>表3.3-2、表3.3-5</t>
        </is>
      </c>
      <c r="T22" s="312" t="n"/>
      <c r="U22" s="114" t="n"/>
      <c r="W22" s="154" t="n"/>
      <c r="X22" s="116">
        <f>VLOOKUP(F22,{"Ⅰ","121";"Ⅱ","187";"Ⅲ","307";"Ⅳ","542";"Ⅴ","789";"Ⅵ","1000"},2,0)</f>
        <v/>
      </c>
      <c r="Y22" s="322" t="n"/>
      <c r="Z22" s="116" t="n">
        <v>1.5</v>
      </c>
      <c r="AA22" s="111" t="n"/>
      <c r="AB22" s="320">
        <f>VLOOKUP(O22,{"甲级","1.2";"乙级","1.0";"丙级","0.8"},2,0)</f>
        <v/>
      </c>
      <c r="AC22" s="322" t="n"/>
      <c r="AD22" s="317">
        <f>H22+AG22-X22</f>
        <v/>
      </c>
      <c r="AE22" s="317">
        <f>M22+AH22-Z22</f>
        <v/>
      </c>
      <c r="AF22" s="317">
        <f>P22+AI22-AB22</f>
        <v/>
      </c>
      <c r="AG22" s="131" t="n"/>
      <c r="AH22" s="131" t="n"/>
      <c r="AI22" s="131" t="n"/>
      <c r="AJ22" s="131" t="n"/>
      <c r="AK22" s="131" t="n"/>
      <c r="AL22" s="131" t="n"/>
      <c r="AM22" s="131" t="n"/>
      <c r="AN22" s="131" t="n"/>
      <c r="AO22" s="131" t="n"/>
    </row>
    <row r="23" ht="14.4" customFormat="1" customHeight="1" s="47">
      <c r="A23" s="208" t="n">
        <v>19</v>
      </c>
      <c r="B23" s="321" t="n"/>
      <c r="C23" s="321" t="n"/>
      <c r="D23" s="321" t="n"/>
      <c r="E23" s="216" t="inlineStr">
        <is>
          <t>80＜D≤100</t>
        </is>
      </c>
      <c r="F23" s="208" t="inlineStr">
        <is>
          <t>Ⅵ</t>
        </is>
      </c>
      <c r="G23" s="312" t="inlineStr">
        <is>
          <t>m</t>
        </is>
      </c>
      <c r="H23" s="318" t="n"/>
      <c r="I23" s="312" t="n">
        <v>95</v>
      </c>
      <c r="J23" s="312" t="n"/>
      <c r="K23" s="312" t="n"/>
      <c r="L23" s="312" t="n"/>
      <c r="M23" s="313" t="n"/>
      <c r="N23" s="314">
        <f>H23*I23*M23</f>
        <v/>
      </c>
      <c r="O23" s="208" t="inlineStr">
        <is>
          <t>甲级</t>
        </is>
      </c>
      <c r="P23" s="315" t="n"/>
      <c r="Q23" s="314">
        <f>N23*P23</f>
        <v/>
      </c>
      <c r="R23" s="314">
        <f>N23+Q23</f>
        <v/>
      </c>
      <c r="S23" s="312" t="inlineStr">
        <is>
          <t>表3.3-2、表3.3-5</t>
        </is>
      </c>
      <c r="T23" s="312" t="n"/>
      <c r="U23" s="114" t="n"/>
      <c r="W23" s="154" t="n"/>
      <c r="X23" s="116">
        <f>VLOOKUP(F23,{"Ⅰ","132";"Ⅱ","204";"Ⅲ","335";"Ⅳ","592";"Ⅴ","862";"Ⅵ","1092"},2,0)</f>
        <v/>
      </c>
      <c r="Y23" s="113" t="n"/>
      <c r="Z23" s="116" t="n">
        <v>1.5</v>
      </c>
      <c r="AA23" s="322" t="n"/>
      <c r="AB23" s="320">
        <f>VLOOKUP(O23,{"甲级","1.2";"乙级","1.0";"丙级","0.8"},2,0)</f>
        <v/>
      </c>
      <c r="AC23" s="111" t="n"/>
      <c r="AD23" s="317">
        <f>H23+AG23-X23</f>
        <v/>
      </c>
      <c r="AE23" s="317">
        <f>M23+AH23-Z23</f>
        <v/>
      </c>
      <c r="AF23" s="317">
        <f>P23+AI23-AB23</f>
        <v/>
      </c>
      <c r="AG23" s="131" t="n"/>
      <c r="AH23" s="131" t="n"/>
      <c r="AI23" s="131" t="n"/>
      <c r="AJ23" s="131" t="n"/>
      <c r="AK23" s="131" t="n"/>
      <c r="AL23" s="131" t="n"/>
      <c r="AM23" s="131" t="n"/>
      <c r="AN23" s="131" t="n"/>
      <c r="AO23" s="131" t="n"/>
    </row>
    <row r="24" ht="12" customFormat="1" customHeight="1" s="47">
      <c r="A24" s="208" t="n">
        <v>20</v>
      </c>
      <c r="B24" s="321" t="n"/>
      <c r="C24" s="321" t="n"/>
      <c r="D24" s="321" t="n"/>
      <c r="E24" s="216" t="inlineStr">
        <is>
          <t>100＜D≤120</t>
        </is>
      </c>
      <c r="F24" s="208" t="inlineStr">
        <is>
          <t>Ⅵ</t>
        </is>
      </c>
      <c r="G24" s="312" t="inlineStr">
        <is>
          <t>m</t>
        </is>
      </c>
      <c r="H24" s="318" t="n"/>
      <c r="I24" s="312" t="n">
        <v>80</v>
      </c>
      <c r="J24" s="312" t="n"/>
      <c r="K24" s="312" t="n"/>
      <c r="L24" s="312" t="n"/>
      <c r="M24" s="313" t="n"/>
      <c r="N24" s="314">
        <f>H24*I24*M24</f>
        <v/>
      </c>
      <c r="O24" s="208" t="inlineStr">
        <is>
          <t>甲级</t>
        </is>
      </c>
      <c r="P24" s="315" t="n"/>
      <c r="Q24" s="314">
        <f>N24*P24</f>
        <v/>
      </c>
      <c r="R24" s="314">
        <f>N24+Q24</f>
        <v/>
      </c>
      <c r="S24" s="312" t="inlineStr">
        <is>
          <t>表3.3-2、表3.3-5</t>
        </is>
      </c>
      <c r="T24" s="312" t="n"/>
      <c r="U24" s="114" t="n"/>
      <c r="W24" s="154" t="n"/>
      <c r="X24" s="116" t="n">
        <v>1310.4</v>
      </c>
      <c r="Y24" s="111" t="n"/>
      <c r="Z24" s="116" t="n">
        <v>1.5</v>
      </c>
      <c r="AA24" s="322" t="n"/>
      <c r="AB24" s="320">
        <f>VLOOKUP(O24,{"甲级","1.2";"乙级","1.0";"丙级","0.8"},2,0)</f>
        <v/>
      </c>
      <c r="AC24" s="111" t="n"/>
      <c r="AD24" s="317">
        <f>H24+AG24-X24</f>
        <v/>
      </c>
      <c r="AE24" s="317">
        <f>M24+AH24-Z24</f>
        <v/>
      </c>
      <c r="AF24" s="317">
        <f>P24+AI24-AB24</f>
        <v/>
      </c>
      <c r="AG24" s="131" t="n"/>
      <c r="AH24" s="131" t="n"/>
      <c r="AI24" s="131" t="n"/>
      <c r="AJ24" s="131" t="n"/>
      <c r="AK24" s="131" t="n"/>
      <c r="AL24" s="131" t="n"/>
      <c r="AM24" s="131" t="n"/>
      <c r="AN24" s="131" t="n"/>
      <c r="AO24" s="131" t="n"/>
    </row>
    <row r="25" ht="12" customFormat="1" customHeight="1" s="47">
      <c r="A25" s="208" t="n">
        <v>21</v>
      </c>
      <c r="B25" s="321" t="n"/>
      <c r="C25" s="321" t="n"/>
      <c r="D25" s="321" t="n"/>
      <c r="E25" s="216" t="inlineStr">
        <is>
          <t>120＜D≤140</t>
        </is>
      </c>
      <c r="F25" s="208" t="inlineStr">
        <is>
          <t>Ⅵ</t>
        </is>
      </c>
      <c r="G25" s="312" t="inlineStr">
        <is>
          <t>m</t>
        </is>
      </c>
      <c r="H25" s="318" t="n"/>
      <c r="I25" s="312" t="n">
        <v>80</v>
      </c>
      <c r="J25" s="312" t="n"/>
      <c r="K25" s="312" t="n"/>
      <c r="L25" s="312" t="n"/>
      <c r="M25" s="313" t="n"/>
      <c r="N25" s="314">
        <f>H25*I25*M25</f>
        <v/>
      </c>
      <c r="O25" s="208" t="inlineStr">
        <is>
          <t>甲级</t>
        </is>
      </c>
      <c r="P25" s="315" t="n"/>
      <c r="Q25" s="314">
        <f>N25*P25</f>
        <v/>
      </c>
      <c r="R25" s="314">
        <f>N25+Q25</f>
        <v/>
      </c>
      <c r="S25" s="312" t="inlineStr">
        <is>
          <t>表3.3-2、表3.3-5</t>
        </is>
      </c>
      <c r="T25" s="312" t="n"/>
      <c r="U25" s="114" t="n"/>
      <c r="W25" s="154" t="n"/>
      <c r="X25" s="116" t="n">
        <v>1572.48</v>
      </c>
      <c r="Y25" s="111" t="n"/>
      <c r="Z25" s="116" t="n">
        <v>1.5</v>
      </c>
      <c r="AA25" s="322" t="n"/>
      <c r="AB25" s="320">
        <f>VLOOKUP(O25,{"甲级","1.2";"乙级","1.0";"丙级","0.8"},2,0)</f>
        <v/>
      </c>
      <c r="AC25" s="111" t="n"/>
      <c r="AD25" s="317">
        <f>H25+AG25-X25</f>
        <v/>
      </c>
      <c r="AE25" s="317">
        <f>M25+AH25-Z25</f>
        <v/>
      </c>
      <c r="AF25" s="317">
        <f>P25+AI25-AB25</f>
        <v/>
      </c>
      <c r="AG25" s="131" t="n"/>
      <c r="AH25" s="131" t="n"/>
      <c r="AI25" s="131" t="n"/>
      <c r="AJ25" s="131" t="n"/>
      <c r="AK25" s="131" t="n"/>
      <c r="AL25" s="131" t="n"/>
      <c r="AM25" s="131" t="n"/>
      <c r="AN25" s="131" t="n"/>
      <c r="AO25" s="131" t="n"/>
    </row>
    <row r="26" ht="14.4" customFormat="1" customHeight="1" s="47">
      <c r="A26" s="208" t="n">
        <v>22</v>
      </c>
      <c r="B26" s="321" t="n"/>
      <c r="C26" s="321" t="n"/>
      <c r="D26" s="321" t="n"/>
      <c r="E26" s="216" t="inlineStr">
        <is>
          <t>140＜D≤160</t>
        </is>
      </c>
      <c r="F26" s="208" t="inlineStr">
        <is>
          <t>Ⅵ</t>
        </is>
      </c>
      <c r="G26" s="312" t="inlineStr">
        <is>
          <t>m</t>
        </is>
      </c>
      <c r="H26" s="318" t="n"/>
      <c r="I26" s="312" t="n">
        <v>80</v>
      </c>
      <c r="J26" s="312" t="n"/>
      <c r="K26" s="312" t="n"/>
      <c r="L26" s="312" t="n"/>
      <c r="M26" s="313" t="n"/>
      <c r="N26" s="314">
        <f>H26*I26*M26</f>
        <v/>
      </c>
      <c r="O26" s="208" t="inlineStr">
        <is>
          <t>甲级</t>
        </is>
      </c>
      <c r="P26" s="315" t="n"/>
      <c r="Q26" s="314">
        <f>N26*P26</f>
        <v/>
      </c>
      <c r="R26" s="314">
        <f>N26+Q26</f>
        <v/>
      </c>
      <c r="S26" s="312" t="inlineStr">
        <is>
          <t>表3.3-2、表3.3-5</t>
        </is>
      </c>
      <c r="T26" s="312" t="n"/>
      <c r="U26" s="114" t="n"/>
      <c r="W26" s="154" t="n"/>
      <c r="X26" s="116" t="n">
        <v>1886.976</v>
      </c>
      <c r="Y26" s="118" t="n"/>
      <c r="Z26" s="116" t="n">
        <v>1.5</v>
      </c>
      <c r="AA26" s="113" t="n"/>
      <c r="AB26" s="320">
        <f>VLOOKUP(O26,{"甲级","1.2";"乙级","1.0";"丙级","0.8"},2,0)</f>
        <v/>
      </c>
      <c r="AC26" s="113" t="n"/>
      <c r="AD26" s="317">
        <f>H26+AG26-X26</f>
        <v/>
      </c>
      <c r="AE26" s="317">
        <f>M26+AH26-Z26</f>
        <v/>
      </c>
      <c r="AF26" s="317">
        <f>P26+AI26-AB26</f>
        <v/>
      </c>
      <c r="AG26" s="131" t="n"/>
      <c r="AH26" s="131" t="n"/>
      <c r="AI26" s="131" t="n"/>
      <c r="AJ26" s="131" t="n"/>
      <c r="AK26" s="131" t="n"/>
      <c r="AL26" s="131" t="n"/>
      <c r="AM26" s="131" t="n"/>
      <c r="AN26" s="131" t="n"/>
      <c r="AO26" s="131" t="n"/>
    </row>
    <row r="27" ht="12" customFormat="1" customHeight="1" s="47">
      <c r="A27" s="208" t="n">
        <v>23</v>
      </c>
      <c r="B27" s="321" t="n"/>
      <c r="C27" s="321" t="n"/>
      <c r="D27" s="321" t="n"/>
      <c r="E27" s="216" t="inlineStr">
        <is>
          <t>160＜D≤180</t>
        </is>
      </c>
      <c r="F27" s="208" t="inlineStr">
        <is>
          <t>Ⅵ</t>
        </is>
      </c>
      <c r="G27" s="312" t="inlineStr">
        <is>
          <t>m</t>
        </is>
      </c>
      <c r="H27" s="318" t="n"/>
      <c r="I27" s="312" t="n">
        <v>80</v>
      </c>
      <c r="J27" s="312" t="n"/>
      <c r="K27" s="312" t="n"/>
      <c r="L27" s="312" t="n"/>
      <c r="M27" s="313" t="n"/>
      <c r="N27" s="314">
        <f>H27*I27*M27</f>
        <v/>
      </c>
      <c r="O27" s="208" t="inlineStr">
        <is>
          <t>甲级</t>
        </is>
      </c>
      <c r="P27" s="315" t="n"/>
      <c r="Q27" s="314">
        <f>N27*P27</f>
        <v/>
      </c>
      <c r="R27" s="314">
        <f>N27+Q27</f>
        <v/>
      </c>
      <c r="S27" s="312" t="inlineStr">
        <is>
          <t>表3.3-2、表3.3-5</t>
        </is>
      </c>
      <c r="T27" s="312" t="n"/>
      <c r="U27" s="114" t="n"/>
      <c r="W27" s="154" t="n"/>
      <c r="X27" s="116" t="n">
        <v>2264.3712</v>
      </c>
      <c r="Y27" s="111" t="n"/>
      <c r="Z27" s="116" t="n">
        <v>1.5</v>
      </c>
      <c r="AA27" s="111" t="n"/>
      <c r="AB27" s="320">
        <f>VLOOKUP(O27,{"甲级","1.2";"乙级","1.0";"丙级","0.8"},2,0)</f>
        <v/>
      </c>
      <c r="AC27" s="111" t="n"/>
      <c r="AD27" s="317">
        <f>H27+AG27-X27</f>
        <v/>
      </c>
      <c r="AE27" s="317">
        <f>M27+AH27-Z27</f>
        <v/>
      </c>
      <c r="AF27" s="317">
        <f>P27+AI27-AB27</f>
        <v/>
      </c>
      <c r="AG27" s="131" t="n"/>
      <c r="AH27" s="131" t="n"/>
      <c r="AI27" s="131" t="n"/>
      <c r="AJ27" s="131" t="n"/>
      <c r="AK27" s="131" t="n"/>
      <c r="AL27" s="131" t="n"/>
      <c r="AM27" s="131" t="n"/>
      <c r="AN27" s="131" t="n"/>
      <c r="AO27" s="131" t="n"/>
    </row>
    <row r="28" ht="12" customFormat="1" customHeight="1" s="47">
      <c r="A28" s="208" t="n">
        <v>24</v>
      </c>
      <c r="B28" s="321" t="n"/>
      <c r="C28" s="321" t="n"/>
      <c r="D28" s="321" t="n"/>
      <c r="E28" s="216" t="inlineStr">
        <is>
          <t>180＜D≤200</t>
        </is>
      </c>
      <c r="F28" s="208" t="inlineStr">
        <is>
          <t>Ⅵ</t>
        </is>
      </c>
      <c r="G28" s="312" t="inlineStr">
        <is>
          <t>m</t>
        </is>
      </c>
      <c r="H28" s="318" t="n"/>
      <c r="I28" s="312" t="n">
        <v>70</v>
      </c>
      <c r="J28" s="312" t="n"/>
      <c r="K28" s="312" t="n"/>
      <c r="L28" s="312" t="n"/>
      <c r="M28" s="313" t="n"/>
      <c r="N28" s="314">
        <f>H28*I28*M28</f>
        <v/>
      </c>
      <c r="O28" s="208" t="inlineStr">
        <is>
          <t>甲级</t>
        </is>
      </c>
      <c r="P28" s="315" t="n"/>
      <c r="Q28" s="314">
        <f>N28*P28</f>
        <v/>
      </c>
      <c r="R28" s="314">
        <f>N28+Q28</f>
        <v/>
      </c>
      <c r="S28" s="312" t="inlineStr">
        <is>
          <t>表3.3-2、表3.3-5</t>
        </is>
      </c>
      <c r="T28" s="312" t="n"/>
      <c r="U28" s="114" t="n"/>
      <c r="W28" s="154" t="n"/>
      <c r="X28" s="116" t="n">
        <v>2717.245439999999</v>
      </c>
      <c r="Y28" s="111" t="n"/>
      <c r="Z28" s="116" t="n">
        <v>1.5</v>
      </c>
      <c r="AA28" s="111" t="n"/>
      <c r="AB28" s="320">
        <f>VLOOKUP(O28,{"甲级","1.2";"乙级","1.0";"丙级","0.8"},2,0)</f>
        <v/>
      </c>
      <c r="AC28" s="111" t="n"/>
      <c r="AD28" s="317">
        <f>H28+AG28-X28</f>
        <v/>
      </c>
      <c r="AE28" s="317">
        <f>M28+AH28-Z28</f>
        <v/>
      </c>
      <c r="AF28" s="317">
        <f>P28+AI28-AB28</f>
        <v/>
      </c>
      <c r="AG28" s="131" t="n"/>
      <c r="AH28" s="131" t="n"/>
      <c r="AI28" s="131" t="n"/>
      <c r="AJ28" s="131" t="n"/>
      <c r="AK28" s="131" t="n"/>
      <c r="AL28" s="131" t="n"/>
      <c r="AM28" s="131" t="n"/>
      <c r="AN28" s="131" t="n"/>
      <c r="AO28" s="131" t="n"/>
    </row>
    <row r="29" ht="12" customFormat="1" customHeight="1" s="47">
      <c r="A29" s="208" t="n">
        <v>25</v>
      </c>
      <c r="B29" s="321" t="n"/>
      <c r="C29" s="321" t="n"/>
      <c r="D29" s="321" t="n"/>
      <c r="E29" s="216" t="inlineStr">
        <is>
          <t>200＜D≤220</t>
        </is>
      </c>
      <c r="F29" s="208" t="inlineStr">
        <is>
          <t>Ⅵ</t>
        </is>
      </c>
      <c r="G29" s="312" t="inlineStr">
        <is>
          <t>m</t>
        </is>
      </c>
      <c r="H29" s="318" t="n"/>
      <c r="I29" s="312" t="n">
        <v>60</v>
      </c>
      <c r="J29" s="312" t="n"/>
      <c r="K29" s="312" t="n"/>
      <c r="L29" s="312" t="n"/>
      <c r="M29" s="313" t="n"/>
      <c r="N29" s="314">
        <f>H29*I29*M29</f>
        <v/>
      </c>
      <c r="O29" s="208" t="inlineStr">
        <is>
          <t>甲级</t>
        </is>
      </c>
      <c r="P29" s="315" t="n"/>
      <c r="Q29" s="314">
        <f>N29*P29</f>
        <v/>
      </c>
      <c r="R29" s="314">
        <f>N29+Q29</f>
        <v/>
      </c>
      <c r="S29" s="312" t="inlineStr">
        <is>
          <t>表3.3-2、表3.3-5</t>
        </is>
      </c>
      <c r="T29" s="312" t="n"/>
      <c r="U29" s="114" t="n"/>
      <c r="W29" s="154" t="n"/>
      <c r="X29" s="116" t="n">
        <v>3260.694527999999</v>
      </c>
      <c r="Y29" s="111" t="n"/>
      <c r="Z29" s="116" t="n">
        <v>1.5</v>
      </c>
      <c r="AA29" s="111" t="n"/>
      <c r="AB29" s="320">
        <f>VLOOKUP(O29,{"甲级","1.2";"乙级","1.0";"丙级","0.8"},2,0)</f>
        <v/>
      </c>
      <c r="AC29" s="111" t="n"/>
      <c r="AD29" s="317">
        <f>H29+AG29-X29</f>
        <v/>
      </c>
      <c r="AE29" s="317">
        <f>M29+AH29-Z29</f>
        <v/>
      </c>
      <c r="AF29" s="317">
        <f>P29+AI29-AB29</f>
        <v/>
      </c>
      <c r="AG29" s="131" t="n"/>
      <c r="AH29" s="131" t="n"/>
      <c r="AI29" s="131" t="n"/>
      <c r="AJ29" s="131" t="n"/>
      <c r="AK29" s="131" t="n"/>
      <c r="AL29" s="131" t="n"/>
      <c r="AM29" s="131" t="n"/>
      <c r="AN29" s="131" t="n"/>
      <c r="AO29" s="131" t="n"/>
    </row>
    <row r="30" ht="12" customFormat="1" customHeight="1" s="47">
      <c r="A30" s="208" t="n">
        <v>26</v>
      </c>
      <c r="B30" s="321" t="n"/>
      <c r="C30" s="321" t="n"/>
      <c r="D30" s="321" t="n"/>
      <c r="E30" s="216" t="inlineStr">
        <is>
          <t>220＜D≤240</t>
        </is>
      </c>
      <c r="F30" s="208" t="inlineStr">
        <is>
          <t>Ⅵ</t>
        </is>
      </c>
      <c r="G30" s="312" t="inlineStr">
        <is>
          <t>m</t>
        </is>
      </c>
      <c r="H30" s="318" t="n"/>
      <c r="I30" s="312" t="n">
        <v>60</v>
      </c>
      <c r="J30" s="312" t="n"/>
      <c r="K30" s="312" t="n"/>
      <c r="L30" s="312" t="n"/>
      <c r="M30" s="313" t="n"/>
      <c r="N30" s="314">
        <f>H30*I30*M30</f>
        <v/>
      </c>
      <c r="O30" s="208" t="inlineStr">
        <is>
          <t>甲级</t>
        </is>
      </c>
      <c r="P30" s="315" t="n"/>
      <c r="Q30" s="314">
        <f>N30*P30</f>
        <v/>
      </c>
      <c r="R30" s="314">
        <f>N30+Q30</f>
        <v/>
      </c>
      <c r="S30" s="312" t="inlineStr">
        <is>
          <t>表3.3-2、表3.3-5</t>
        </is>
      </c>
      <c r="T30" s="312" t="n"/>
      <c r="U30" s="114" t="n"/>
      <c r="W30" s="154" t="n"/>
      <c r="X30" s="116" t="n">
        <v>3912.833433599999</v>
      </c>
      <c r="Y30" s="111" t="n"/>
      <c r="Z30" s="116" t="n">
        <v>1.5</v>
      </c>
      <c r="AA30" s="111" t="n"/>
      <c r="AB30" s="320">
        <f>VLOOKUP(O30,{"甲级","1.2";"乙级","1.0";"丙级","0.8"},2,0)</f>
        <v/>
      </c>
      <c r="AC30" s="111" t="n"/>
      <c r="AD30" s="317">
        <f>H30+AG30-X30</f>
        <v/>
      </c>
      <c r="AE30" s="317">
        <f>M30+AH30-Z30</f>
        <v/>
      </c>
      <c r="AF30" s="317">
        <f>P30+AI30-AB30</f>
        <v/>
      </c>
      <c r="AG30" s="131" t="n"/>
      <c r="AH30" s="131" t="n"/>
      <c r="AI30" s="131" t="n"/>
      <c r="AJ30" s="131" t="n"/>
      <c r="AK30" s="131" t="n"/>
      <c r="AL30" s="131" t="n"/>
      <c r="AM30" s="131" t="n"/>
      <c r="AN30" s="131" t="n"/>
      <c r="AO30" s="131" t="n"/>
    </row>
    <row r="31" ht="12" customFormat="1" customHeight="1" s="47">
      <c r="A31" s="208" t="n">
        <v>27</v>
      </c>
      <c r="B31" s="321" t="n"/>
      <c r="C31" s="321" t="n"/>
      <c r="D31" s="321" t="n"/>
      <c r="E31" s="216" t="inlineStr">
        <is>
          <t>240＜D≤260</t>
        </is>
      </c>
      <c r="F31" s="208" t="inlineStr">
        <is>
          <t>Ⅵ</t>
        </is>
      </c>
      <c r="G31" s="312" t="inlineStr">
        <is>
          <t>m</t>
        </is>
      </c>
      <c r="H31" s="318" t="n"/>
      <c r="I31" s="312" t="n">
        <v>60</v>
      </c>
      <c r="J31" s="312" t="n"/>
      <c r="K31" s="312" t="n"/>
      <c r="L31" s="312" t="n"/>
      <c r="M31" s="313" t="n"/>
      <c r="N31" s="314">
        <f>H31*I31*M31</f>
        <v/>
      </c>
      <c r="O31" s="208" t="inlineStr">
        <is>
          <t>甲级</t>
        </is>
      </c>
      <c r="P31" s="315" t="n"/>
      <c r="Q31" s="314">
        <f>N31*P31</f>
        <v/>
      </c>
      <c r="R31" s="314">
        <f>N31+Q31</f>
        <v/>
      </c>
      <c r="S31" s="312" t="inlineStr">
        <is>
          <t>表3.3-2、表3.3-5</t>
        </is>
      </c>
      <c r="T31" s="312" t="n"/>
      <c r="U31" s="114" t="n"/>
      <c r="W31" s="154" t="n"/>
      <c r="X31" s="116" t="n">
        <v>4695.400120319999</v>
      </c>
      <c r="Y31" s="111" t="n"/>
      <c r="Z31" s="116" t="n">
        <v>1.5</v>
      </c>
      <c r="AA31" s="111" t="n"/>
      <c r="AB31" s="320">
        <f>VLOOKUP(O31,{"甲级","1.2";"乙级","1.0";"丙级","0.8"},2,0)</f>
        <v/>
      </c>
      <c r="AC31" s="111" t="n"/>
      <c r="AD31" s="317">
        <f>H31+AG31-X31</f>
        <v/>
      </c>
      <c r="AE31" s="317">
        <f>M31+AH31-Z31</f>
        <v/>
      </c>
      <c r="AF31" s="317">
        <f>P31+AI31-AB31</f>
        <v/>
      </c>
      <c r="AG31" s="131" t="n"/>
      <c r="AH31" s="131" t="n"/>
      <c r="AI31" s="131" t="n"/>
      <c r="AJ31" s="131" t="n"/>
      <c r="AK31" s="131" t="n"/>
      <c r="AL31" s="131" t="n"/>
      <c r="AM31" s="131" t="n"/>
      <c r="AN31" s="131" t="n"/>
      <c r="AO31" s="131" t="n"/>
    </row>
    <row r="32" ht="12" customFormat="1" customHeight="1" s="47">
      <c r="A32" s="208" t="n">
        <v>28</v>
      </c>
      <c r="B32" s="321" t="n"/>
      <c r="C32" s="321" t="n"/>
      <c r="D32" s="321" t="n"/>
      <c r="E32" s="216" t="inlineStr">
        <is>
          <t>260＜D≤280</t>
        </is>
      </c>
      <c r="F32" s="208" t="inlineStr">
        <is>
          <t>Ⅵ</t>
        </is>
      </c>
      <c r="G32" s="312" t="inlineStr">
        <is>
          <t>m</t>
        </is>
      </c>
      <c r="H32" s="318" t="n"/>
      <c r="I32" s="312" t="n">
        <v>60</v>
      </c>
      <c r="J32" s="312" t="n"/>
      <c r="K32" s="312" t="n"/>
      <c r="L32" s="312" t="n"/>
      <c r="M32" s="313" t="n"/>
      <c r="N32" s="314">
        <f>H32*I32*M32</f>
        <v/>
      </c>
      <c r="O32" s="208" t="inlineStr">
        <is>
          <t>甲级</t>
        </is>
      </c>
      <c r="P32" s="315" t="n"/>
      <c r="Q32" s="314">
        <f>N32*P32</f>
        <v/>
      </c>
      <c r="R32" s="314">
        <f>N32+Q32</f>
        <v/>
      </c>
      <c r="S32" s="312" t="inlineStr">
        <is>
          <t>表3.3-2、表3.3-5</t>
        </is>
      </c>
      <c r="T32" s="312" t="n"/>
      <c r="U32" s="114" t="n"/>
      <c r="W32" s="154" t="n"/>
      <c r="X32" s="116" t="n">
        <v>5634.480144383998</v>
      </c>
      <c r="Y32" s="111" t="n"/>
      <c r="Z32" s="116" t="n">
        <v>1.5</v>
      </c>
      <c r="AA32" s="111" t="n"/>
      <c r="AB32" s="320">
        <f>VLOOKUP(O32,{"甲级","1.2";"乙级","1.0";"丙级","0.8"},2,0)</f>
        <v/>
      </c>
      <c r="AC32" s="111" t="n"/>
      <c r="AD32" s="317">
        <f>H32+AG32-X32</f>
        <v/>
      </c>
      <c r="AE32" s="317">
        <f>M32+AH32-Z32</f>
        <v/>
      </c>
      <c r="AF32" s="317">
        <f>P32+AI32-AB32</f>
        <v/>
      </c>
      <c r="AG32" s="131" t="n"/>
      <c r="AH32" s="131" t="n"/>
      <c r="AI32" s="131" t="n"/>
      <c r="AJ32" s="131" t="n"/>
      <c r="AK32" s="131" t="n"/>
      <c r="AL32" s="131" t="n"/>
      <c r="AM32" s="131" t="n"/>
      <c r="AN32" s="131" t="n"/>
      <c r="AO32" s="131" t="n"/>
    </row>
    <row r="33" ht="12" customFormat="1" customHeight="1" s="47">
      <c r="A33" s="208" t="n">
        <v>29</v>
      </c>
      <c r="B33" s="321" t="n"/>
      <c r="C33" s="321" t="n"/>
      <c r="D33" s="321" t="n"/>
      <c r="E33" s="216" t="inlineStr">
        <is>
          <t>280＜D≤300</t>
        </is>
      </c>
      <c r="F33" s="208" t="inlineStr">
        <is>
          <t>Ⅵ</t>
        </is>
      </c>
      <c r="G33" s="312" t="inlineStr">
        <is>
          <t>m</t>
        </is>
      </c>
      <c r="H33" s="318" t="n"/>
      <c r="I33" s="312" t="n">
        <v>60</v>
      </c>
      <c r="J33" s="312" t="n"/>
      <c r="K33" s="312" t="n"/>
      <c r="L33" s="312" t="n"/>
      <c r="M33" s="313" t="n"/>
      <c r="N33" s="314">
        <f>H33*I33*M33</f>
        <v/>
      </c>
      <c r="O33" s="208" t="inlineStr">
        <is>
          <t>甲级</t>
        </is>
      </c>
      <c r="P33" s="315" t="n"/>
      <c r="Q33" s="314">
        <f>N33*P33</f>
        <v/>
      </c>
      <c r="R33" s="314">
        <f>N33+Q33</f>
        <v/>
      </c>
      <c r="S33" s="312" t="inlineStr">
        <is>
          <t>表3.3-2、表3.3-5</t>
        </is>
      </c>
      <c r="T33" s="312" t="n"/>
      <c r="U33" s="114" t="n"/>
      <c r="W33" s="154" t="n"/>
      <c r="X33" s="116" t="n">
        <v>6761.376173260797</v>
      </c>
      <c r="Y33" s="111" t="n"/>
      <c r="Z33" s="116" t="n">
        <v>1.5</v>
      </c>
      <c r="AA33" s="111" t="n"/>
      <c r="AB33" s="320">
        <f>VLOOKUP(O33,{"甲级","1.2";"乙级","1.0";"丙级","0.8"},2,0)</f>
        <v/>
      </c>
      <c r="AC33" s="111" t="n"/>
      <c r="AD33" s="317">
        <f>H33+AG33-X33</f>
        <v/>
      </c>
      <c r="AE33" s="317">
        <f>M33+AH33-Z33</f>
        <v/>
      </c>
      <c r="AF33" s="317">
        <f>P33+AI33-AB33</f>
        <v/>
      </c>
      <c r="AG33" s="131" t="n"/>
      <c r="AH33" s="131" t="n"/>
      <c r="AI33" s="131" t="n"/>
      <c r="AJ33" s="131" t="n"/>
      <c r="AK33" s="131" t="n"/>
      <c r="AL33" s="131" t="n"/>
      <c r="AM33" s="131" t="n"/>
      <c r="AN33" s="131" t="n"/>
      <c r="AO33" s="131" t="n"/>
    </row>
    <row r="34" ht="12" customFormat="1" customHeight="1" s="47">
      <c r="A34" s="208" t="n">
        <v>30</v>
      </c>
      <c r="B34" s="321" t="n"/>
      <c r="C34" s="321" t="n"/>
      <c r="D34" s="321" t="n"/>
      <c r="E34" s="216" t="inlineStr">
        <is>
          <t>300＜D≤320</t>
        </is>
      </c>
      <c r="F34" s="208" t="inlineStr">
        <is>
          <t>Ⅵ</t>
        </is>
      </c>
      <c r="G34" s="312" t="inlineStr">
        <is>
          <t>m</t>
        </is>
      </c>
      <c r="H34" s="318" t="n"/>
      <c r="I34" s="312" t="n">
        <v>40</v>
      </c>
      <c r="J34" s="312" t="n"/>
      <c r="K34" s="312" t="n"/>
      <c r="L34" s="312" t="n"/>
      <c r="M34" s="313" t="n"/>
      <c r="N34" s="314">
        <f>H34*I34*M34</f>
        <v/>
      </c>
      <c r="O34" s="208" t="inlineStr">
        <is>
          <t>甲级</t>
        </is>
      </c>
      <c r="P34" s="315" t="n"/>
      <c r="Q34" s="314">
        <f>N34*P34</f>
        <v/>
      </c>
      <c r="R34" s="314">
        <f>N34+Q34</f>
        <v/>
      </c>
      <c r="S34" s="312" t="inlineStr">
        <is>
          <t>表3.3-2、表3.3-5</t>
        </is>
      </c>
      <c r="T34" s="312" t="n"/>
      <c r="U34" s="114" t="n"/>
      <c r="W34" s="154" t="n"/>
      <c r="X34" s="116" t="n">
        <v>6761.376173260797</v>
      </c>
      <c r="Y34" s="111" t="n"/>
      <c r="Z34" s="116" t="n">
        <v>1.5</v>
      </c>
      <c r="AA34" s="111" t="n"/>
      <c r="AB34" s="320">
        <f>VLOOKUP(O34,{"甲级","1.2";"乙级","1.0";"丙级","0.8"},2,0)</f>
        <v/>
      </c>
      <c r="AC34" s="111" t="n"/>
      <c r="AD34" s="317">
        <f>H34+AG34-X34</f>
        <v/>
      </c>
      <c r="AE34" s="317">
        <f>M34+AH34-Z34</f>
        <v/>
      </c>
      <c r="AF34" s="317">
        <f>P34+AI34-AB34</f>
        <v/>
      </c>
      <c r="AG34" s="131" t="n"/>
      <c r="AH34" s="131" t="n"/>
      <c r="AI34" s="131" t="n"/>
      <c r="AJ34" s="131" t="n"/>
      <c r="AK34" s="131" t="n"/>
      <c r="AL34" s="131" t="n"/>
      <c r="AM34" s="131" t="n"/>
      <c r="AN34" s="131" t="n"/>
      <c r="AO34" s="131" t="n"/>
    </row>
    <row r="35" ht="12" customFormat="1" customHeight="1" s="47">
      <c r="A35" s="208" t="n">
        <v>31</v>
      </c>
      <c r="B35" s="321" t="n"/>
      <c r="C35" s="321" t="n"/>
      <c r="D35" s="321" t="n"/>
      <c r="E35" s="216" t="inlineStr">
        <is>
          <t>320＜D≤340</t>
        </is>
      </c>
      <c r="F35" s="208" t="inlineStr">
        <is>
          <t>Ⅵ</t>
        </is>
      </c>
      <c r="G35" s="312" t="inlineStr">
        <is>
          <t>m</t>
        </is>
      </c>
      <c r="H35" s="318" t="n"/>
      <c r="I35" s="312" t="n">
        <v>40</v>
      </c>
      <c r="J35" s="312" t="n"/>
      <c r="K35" s="312" t="n"/>
      <c r="L35" s="312" t="n"/>
      <c r="M35" s="313" t="n"/>
      <c r="N35" s="314">
        <f>H35*I35*M35</f>
        <v/>
      </c>
      <c r="O35" s="208" t="inlineStr">
        <is>
          <t>甲级</t>
        </is>
      </c>
      <c r="P35" s="315" t="n"/>
      <c r="Q35" s="314">
        <f>N35*P35</f>
        <v/>
      </c>
      <c r="R35" s="314">
        <f>N35+Q35</f>
        <v/>
      </c>
      <c r="S35" s="312" t="inlineStr">
        <is>
          <t>表3.3-2、表3.3-5</t>
        </is>
      </c>
      <c r="T35" s="312" t="n"/>
      <c r="U35" s="114" t="n"/>
      <c r="W35" s="154" t="n"/>
      <c r="X35" s="116" t="n">
        <v>6761.376173260797</v>
      </c>
      <c r="Y35" s="111" t="n"/>
      <c r="Z35" s="116" t="n">
        <v>1.5</v>
      </c>
      <c r="AA35" s="111" t="n"/>
      <c r="AB35" s="320">
        <f>VLOOKUP(O35,{"甲级","1.2";"乙级","1.0";"丙级","0.8"},2,0)</f>
        <v/>
      </c>
      <c r="AC35" s="111" t="n"/>
      <c r="AD35" s="317">
        <f>H35+AG35-X35</f>
        <v/>
      </c>
      <c r="AE35" s="317">
        <f>M35+AH35-Z35</f>
        <v/>
      </c>
      <c r="AF35" s="317">
        <f>P35+AI35-AB35</f>
        <v/>
      </c>
      <c r="AG35" s="131" t="n"/>
      <c r="AH35" s="131" t="n"/>
      <c r="AI35" s="131" t="n"/>
      <c r="AJ35" s="131" t="n"/>
      <c r="AK35" s="131" t="n"/>
      <c r="AL35" s="131" t="n"/>
      <c r="AM35" s="131" t="n"/>
      <c r="AN35" s="131" t="n"/>
      <c r="AO35" s="131" t="n"/>
    </row>
    <row r="36" ht="12" customFormat="1" customHeight="1" s="47">
      <c r="A36" s="208" t="n">
        <v>32</v>
      </c>
      <c r="B36" s="321" t="n"/>
      <c r="C36" s="321" t="n"/>
      <c r="D36" s="321" t="n"/>
      <c r="E36" s="216" t="inlineStr">
        <is>
          <t>340＜D≤360</t>
        </is>
      </c>
      <c r="F36" s="208" t="inlineStr">
        <is>
          <t>Ⅵ</t>
        </is>
      </c>
      <c r="G36" s="312" t="inlineStr">
        <is>
          <t>m</t>
        </is>
      </c>
      <c r="H36" s="318" t="n"/>
      <c r="I36" s="312" t="n">
        <v>40</v>
      </c>
      <c r="J36" s="312" t="n"/>
      <c r="K36" s="312" t="n"/>
      <c r="L36" s="312" t="n"/>
      <c r="M36" s="313" t="n"/>
      <c r="N36" s="314">
        <f>H36*I36*M36</f>
        <v/>
      </c>
      <c r="O36" s="208" t="inlineStr">
        <is>
          <t>甲级</t>
        </is>
      </c>
      <c r="P36" s="315" t="n"/>
      <c r="Q36" s="314">
        <f>N36*P36</f>
        <v/>
      </c>
      <c r="R36" s="314">
        <f>N36+Q36</f>
        <v/>
      </c>
      <c r="S36" s="312" t="inlineStr">
        <is>
          <t>表3.3-2、表3.3-5</t>
        </is>
      </c>
      <c r="T36" s="312" t="n"/>
      <c r="U36" s="114" t="n"/>
      <c r="W36" s="154" t="n"/>
      <c r="X36" s="116" t="n">
        <v>6761.376173260797</v>
      </c>
      <c r="Y36" s="111" t="n"/>
      <c r="Z36" s="116" t="n">
        <v>1.5</v>
      </c>
      <c r="AA36" s="111" t="n"/>
      <c r="AB36" s="320">
        <f>VLOOKUP(O36,{"甲级","1.2";"乙级","1.0";"丙级","0.8"},2,0)</f>
        <v/>
      </c>
      <c r="AC36" s="111" t="n"/>
      <c r="AD36" s="317">
        <f>H36+AG36-X36</f>
        <v/>
      </c>
      <c r="AE36" s="317">
        <f>M36+AH36-Z36</f>
        <v/>
      </c>
      <c r="AF36" s="317">
        <f>P36+AI36-AB36</f>
        <v/>
      </c>
      <c r="AG36" s="131" t="n"/>
      <c r="AH36" s="131" t="n"/>
      <c r="AI36" s="131" t="n"/>
      <c r="AJ36" s="131" t="n"/>
      <c r="AK36" s="131" t="n"/>
      <c r="AL36" s="131" t="n"/>
      <c r="AM36" s="131" t="n"/>
      <c r="AN36" s="131" t="n"/>
      <c r="AO36" s="131" t="n"/>
    </row>
    <row r="37" ht="12" customFormat="1" customHeight="1" s="47">
      <c r="A37" s="208" t="n">
        <v>33</v>
      </c>
      <c r="B37" s="321" t="n"/>
      <c r="C37" s="321" t="n"/>
      <c r="D37" s="321" t="n"/>
      <c r="E37" s="216" t="inlineStr">
        <is>
          <t>360＜D≤380</t>
        </is>
      </c>
      <c r="F37" s="208" t="inlineStr">
        <is>
          <t>Ⅵ</t>
        </is>
      </c>
      <c r="G37" s="312" t="inlineStr">
        <is>
          <t>m</t>
        </is>
      </c>
      <c r="H37" s="318" t="n"/>
      <c r="I37" s="312" t="n">
        <v>30</v>
      </c>
      <c r="J37" s="312" t="n"/>
      <c r="K37" s="312" t="n"/>
      <c r="L37" s="312" t="n"/>
      <c r="M37" s="313" t="n"/>
      <c r="N37" s="314">
        <f>H37*I37*M37</f>
        <v/>
      </c>
      <c r="O37" s="208" t="inlineStr">
        <is>
          <t>甲级</t>
        </is>
      </c>
      <c r="P37" s="315" t="n"/>
      <c r="Q37" s="314">
        <f>N37*P37</f>
        <v/>
      </c>
      <c r="R37" s="314">
        <f>N37+Q37</f>
        <v/>
      </c>
      <c r="S37" s="312" t="inlineStr">
        <is>
          <t>表3.3-2、表3.3-5</t>
        </is>
      </c>
      <c r="T37" s="312" t="n"/>
      <c r="U37" s="114" t="n"/>
      <c r="W37" s="154" t="n"/>
      <c r="X37" s="116" t="n">
        <v>6761.376173260797</v>
      </c>
      <c r="Y37" s="111" t="n"/>
      <c r="Z37" s="116" t="n">
        <v>1.5</v>
      </c>
      <c r="AA37" s="111" t="n"/>
      <c r="AB37" s="320">
        <f>VLOOKUP(O37,{"甲级","1.2";"乙级","1.0";"丙级","0.8"},2,0)</f>
        <v/>
      </c>
      <c r="AC37" s="111" t="n"/>
      <c r="AD37" s="317">
        <f>H37+AG37-X37</f>
        <v/>
      </c>
      <c r="AE37" s="317">
        <f>M37+AH37-Z37</f>
        <v/>
      </c>
      <c r="AF37" s="317">
        <f>P37+AI37-AB37</f>
        <v/>
      </c>
      <c r="AG37" s="131" t="n"/>
      <c r="AH37" s="131" t="n"/>
      <c r="AI37" s="131" t="n"/>
      <c r="AJ37" s="131" t="n"/>
      <c r="AK37" s="131" t="n"/>
      <c r="AL37" s="131" t="n"/>
      <c r="AM37" s="131" t="n"/>
      <c r="AN37" s="131" t="n"/>
      <c r="AO37" s="131" t="n"/>
    </row>
    <row r="38" ht="12" customFormat="1" customHeight="1" s="47">
      <c r="A38" s="208" t="n">
        <v>34</v>
      </c>
      <c r="B38" s="321" t="n"/>
      <c r="C38" s="321" t="n"/>
      <c r="D38" s="321" t="n"/>
      <c r="E38" s="216" t="inlineStr">
        <is>
          <t>380＜D≤400</t>
        </is>
      </c>
      <c r="F38" s="208" t="inlineStr">
        <is>
          <t>Ⅵ</t>
        </is>
      </c>
      <c r="G38" s="312" t="inlineStr">
        <is>
          <t>m</t>
        </is>
      </c>
      <c r="H38" s="318" t="n"/>
      <c r="I38" s="312" t="n">
        <v>10</v>
      </c>
      <c r="J38" s="312" t="n"/>
      <c r="K38" s="312" t="n"/>
      <c r="L38" s="312" t="n"/>
      <c r="M38" s="313" t="n"/>
      <c r="N38" s="314">
        <f>H38*I38*M38</f>
        <v/>
      </c>
      <c r="O38" s="208" t="inlineStr">
        <is>
          <t>甲级</t>
        </is>
      </c>
      <c r="P38" s="315" t="n"/>
      <c r="Q38" s="314">
        <f>N38*P38</f>
        <v/>
      </c>
      <c r="R38" s="314">
        <f>N38+Q38</f>
        <v/>
      </c>
      <c r="S38" s="312" t="n"/>
      <c r="T38" s="312" t="n"/>
      <c r="U38" s="114" t="n"/>
      <c r="W38" s="154" t="n"/>
      <c r="X38" s="116" t="n">
        <v>6761.376173260797</v>
      </c>
      <c r="Y38" s="111" t="n"/>
      <c r="Z38" s="116" t="n">
        <v>1.5</v>
      </c>
      <c r="AA38" s="111" t="n"/>
      <c r="AB38" s="320">
        <f>VLOOKUP(O38,{"甲级","1.2";"乙级","1.0";"丙级","0.8"},2,0)</f>
        <v/>
      </c>
      <c r="AC38" s="111" t="n"/>
      <c r="AD38" s="317">
        <f>H38+AG38-X38</f>
        <v/>
      </c>
      <c r="AE38" s="317">
        <f>M38+AH38-Z38</f>
        <v/>
      </c>
      <c r="AF38" s="317">
        <f>P38+AI38-AB38</f>
        <v/>
      </c>
      <c r="AG38" s="131" t="n"/>
      <c r="AH38" s="131" t="n"/>
      <c r="AI38" s="131" t="n"/>
      <c r="AJ38" s="131" t="n"/>
      <c r="AK38" s="131" t="n"/>
      <c r="AL38" s="131" t="n"/>
      <c r="AM38" s="131" t="n"/>
      <c r="AN38" s="131" t="n"/>
      <c r="AO38" s="131" t="n"/>
    </row>
    <row r="39" ht="12" customFormat="1" customHeight="1" s="47">
      <c r="A39" s="208" t="n">
        <v>35</v>
      </c>
      <c r="B39" s="321" t="n"/>
      <c r="C39" s="307" t="n"/>
      <c r="D39" s="307" t="n"/>
      <c r="E39" s="216" t="inlineStr">
        <is>
          <t>400＜D≤420</t>
        </is>
      </c>
      <c r="F39" s="208" t="inlineStr">
        <is>
          <t>Ⅵ</t>
        </is>
      </c>
      <c r="G39" s="312" t="inlineStr">
        <is>
          <t>m</t>
        </is>
      </c>
      <c r="H39" s="318" t="n"/>
      <c r="I39" s="312" t="n"/>
      <c r="J39" s="312" t="n"/>
      <c r="K39" s="312" t="n"/>
      <c r="L39" s="312" t="n"/>
      <c r="M39" s="313" t="n"/>
      <c r="N39" s="314">
        <f>H39*I39*M39</f>
        <v/>
      </c>
      <c r="O39" s="208" t="inlineStr">
        <is>
          <t>甲级</t>
        </is>
      </c>
      <c r="P39" s="315" t="n"/>
      <c r="Q39" s="314">
        <f>N39*P39</f>
        <v/>
      </c>
      <c r="R39" s="314">
        <f>N39+Q39</f>
        <v/>
      </c>
      <c r="S39" s="312" t="n"/>
      <c r="T39" s="312" t="n"/>
      <c r="U39" s="114" t="n"/>
      <c r="W39" s="154" t="n"/>
      <c r="X39" s="116" t="n">
        <v>8113.651407912957</v>
      </c>
      <c r="Y39" s="111" t="n"/>
      <c r="Z39" s="116" t="n">
        <v>1.5</v>
      </c>
      <c r="AA39" s="111" t="n"/>
      <c r="AB39" s="320">
        <f>VLOOKUP(O39,{"甲级","1.2";"乙级","1.0";"丙级","0.8"},2,0)</f>
        <v/>
      </c>
      <c r="AC39" s="111" t="n"/>
      <c r="AD39" s="317">
        <f>H39+AG39-X39</f>
        <v/>
      </c>
      <c r="AE39" s="317">
        <f>M39+AH39-Z39</f>
        <v/>
      </c>
      <c r="AF39" s="317">
        <f>P39+AI39-AB39</f>
        <v/>
      </c>
      <c r="AG39" s="131" t="n"/>
      <c r="AH39" s="131" t="n"/>
      <c r="AI39" s="131" t="n"/>
      <c r="AJ39" s="131" t="n"/>
      <c r="AK39" s="131" t="n"/>
      <c r="AL39" s="131" t="n"/>
      <c r="AM39" s="131" t="n"/>
      <c r="AN39" s="131" t="n"/>
      <c r="AO39" s="131" t="n"/>
    </row>
    <row r="40" ht="36" customFormat="1" customHeight="1" s="47">
      <c r="A40" s="208" t="n">
        <v>36</v>
      </c>
      <c r="B40" s="321" t="n"/>
      <c r="C40" s="220" t="inlineStr">
        <is>
          <t>钻探</t>
        </is>
      </c>
      <c r="D40" s="210" t="inlineStr">
        <is>
          <t>水域</t>
        </is>
      </c>
      <c r="E40" s="216" t="inlineStr">
        <is>
          <t>D≤10</t>
        </is>
      </c>
      <c r="F40" s="208" t="inlineStr">
        <is>
          <t>Ⅲ</t>
        </is>
      </c>
      <c r="G40" s="312" t="inlineStr">
        <is>
          <t>m</t>
        </is>
      </c>
      <c r="H40" s="318" t="n"/>
      <c r="I40" s="312" t="n">
        <v>25</v>
      </c>
      <c r="J40" s="312" t="n"/>
      <c r="K40" s="312" t="n"/>
      <c r="L40" s="312" t="inlineStr">
        <is>
          <t>水深&lt;10m系数2.0，泥浆护壁系数1.5</t>
        </is>
      </c>
      <c r="M40" s="313" t="n"/>
      <c r="N40" s="314">
        <f>H40*I40*M40</f>
        <v/>
      </c>
      <c r="O40" s="208" t="inlineStr">
        <is>
          <t>甲级</t>
        </is>
      </c>
      <c r="P40" s="315" t="n"/>
      <c r="Q40" s="314">
        <f>N40*P40</f>
        <v/>
      </c>
      <c r="R40" s="314">
        <f>N40+Q40</f>
        <v/>
      </c>
      <c r="S40" s="312" t="inlineStr">
        <is>
          <t>表3.3-2、表3.3-5</t>
        </is>
      </c>
      <c r="T40" s="312" t="inlineStr">
        <is>
          <t>水上作业系数2.5</t>
        </is>
      </c>
      <c r="U40" s="114" t="n"/>
      <c r="W40" s="154" t="n"/>
      <c r="X40" s="116">
        <f>VLOOKUP(F40,{"Ⅰ","46";"Ⅱ","71";"Ⅲ","117";"Ⅳ","207";"Ⅴ","301";"Ⅵ","382"},2,0)</f>
        <v/>
      </c>
      <c r="Y40" s="111" t="inlineStr">
        <is>
          <t>水上作业系数2.5</t>
        </is>
      </c>
      <c r="Z40" s="116" t="n">
        <v>2.5</v>
      </c>
      <c r="AA40" s="111" t="n"/>
      <c r="AB40" s="320">
        <f>VLOOKUP(O40,{"甲级","1.2";"乙级","1.0";"丙级","0.8"},2,0)</f>
        <v/>
      </c>
      <c r="AC40" s="111" t="n"/>
      <c r="AD40" s="317">
        <f>H40+AG40-X40</f>
        <v/>
      </c>
      <c r="AE40" s="317">
        <f>M40+AH40-Z40</f>
        <v/>
      </c>
      <c r="AF40" s="317">
        <f>P40+AI40-AB40</f>
        <v/>
      </c>
      <c r="AG40" s="131" t="n"/>
      <c r="AH40" s="131" t="n"/>
      <c r="AI40" s="131" t="n"/>
      <c r="AJ40" s="131" t="n"/>
      <c r="AK40" s="131" t="n"/>
      <c r="AL40" s="131" t="n"/>
      <c r="AM40" s="131" t="n"/>
      <c r="AN40" s="131" t="n"/>
      <c r="AO40" s="131" t="n"/>
    </row>
    <row r="41" ht="36" customFormat="1" customHeight="1" s="47">
      <c r="A41" s="208" t="n">
        <v>37</v>
      </c>
      <c r="B41" s="321" t="n"/>
      <c r="C41" s="321" t="n"/>
      <c r="D41" s="321" t="n"/>
      <c r="E41" s="216" t="inlineStr">
        <is>
          <t>D≤10</t>
        </is>
      </c>
      <c r="F41" s="208" t="inlineStr">
        <is>
          <t>Ⅳ</t>
        </is>
      </c>
      <c r="G41" s="312" t="inlineStr">
        <is>
          <t>m</t>
        </is>
      </c>
      <c r="H41" s="318" t="n"/>
      <c r="I41" s="312" t="n">
        <v>25</v>
      </c>
      <c r="J41" s="312" t="n"/>
      <c r="K41" s="312" t="n"/>
      <c r="L41" s="312" t="inlineStr">
        <is>
          <t>水深&lt;10m系数2.0，泥浆护壁系数1.5</t>
        </is>
      </c>
      <c r="M41" s="313" t="n"/>
      <c r="N41" s="314">
        <f>H41*I41*M41</f>
        <v/>
      </c>
      <c r="O41" s="208" t="inlineStr">
        <is>
          <t>甲级</t>
        </is>
      </c>
      <c r="P41" s="315" t="n"/>
      <c r="Q41" s="314">
        <f>N41*P41</f>
        <v/>
      </c>
      <c r="R41" s="314">
        <f>N41+Q41</f>
        <v/>
      </c>
      <c r="S41" s="312" t="inlineStr">
        <is>
          <t>表3.3-2、表3.3-5</t>
        </is>
      </c>
      <c r="T41" s="312" t="inlineStr">
        <is>
          <t>水上作业系数2.5</t>
        </is>
      </c>
      <c r="U41" s="114" t="n"/>
      <c r="W41" s="154" t="n"/>
      <c r="X41" s="116">
        <f>VLOOKUP(F41,{"Ⅰ","46";"Ⅱ","71";"Ⅲ","117";"Ⅳ","207";"Ⅴ","301";"Ⅵ","382"},2,0)</f>
        <v/>
      </c>
      <c r="Y41" s="111" t="inlineStr">
        <is>
          <t>水上作业系数2.5</t>
        </is>
      </c>
      <c r="Z41" s="116" t="n">
        <v>2.5</v>
      </c>
      <c r="AA41" s="111" t="n"/>
      <c r="AB41" s="320">
        <f>VLOOKUP(O41,{"甲级","1.2";"乙级","1.0";"丙级","0.8"},2,0)</f>
        <v/>
      </c>
      <c r="AC41" s="111" t="n"/>
      <c r="AD41" s="317">
        <f>H41+AG41-X41</f>
        <v/>
      </c>
      <c r="AE41" s="317">
        <f>M41+AH41-Z41</f>
        <v/>
      </c>
      <c r="AF41" s="317">
        <f>P41+AI41-AB41</f>
        <v/>
      </c>
      <c r="AG41" s="131" t="n"/>
      <c r="AH41" s="131" t="n"/>
      <c r="AI41" s="131" t="n"/>
      <c r="AJ41" s="131" t="n"/>
      <c r="AK41" s="131" t="n"/>
      <c r="AL41" s="131" t="n"/>
      <c r="AM41" s="131" t="n"/>
      <c r="AN41" s="131" t="n"/>
      <c r="AO41" s="131" t="n"/>
    </row>
    <row r="42" ht="12" customFormat="1" customHeight="1" s="47">
      <c r="A42" s="208" t="n">
        <v>38</v>
      </c>
      <c r="B42" s="321" t="n"/>
      <c r="C42" s="321" t="n"/>
      <c r="D42" s="321" t="n"/>
      <c r="E42" s="216" t="inlineStr">
        <is>
          <t>10＜D≤20</t>
        </is>
      </c>
      <c r="F42" s="208" t="inlineStr">
        <is>
          <t>Ⅳ</t>
        </is>
      </c>
      <c r="G42" s="312" t="inlineStr">
        <is>
          <t>m</t>
        </is>
      </c>
      <c r="H42" s="318" t="n"/>
      <c r="I42" s="312" t="n">
        <v>50</v>
      </c>
      <c r="J42" s="312" t="n"/>
      <c r="K42" s="312" t="n"/>
      <c r="L42" s="312" t="n"/>
      <c r="M42" s="313" t="n"/>
      <c r="N42" s="314">
        <f>H42*I42*M42</f>
        <v/>
      </c>
      <c r="O42" s="208" t="inlineStr">
        <is>
          <t>甲级</t>
        </is>
      </c>
      <c r="P42" s="315" t="n"/>
      <c r="Q42" s="314">
        <f>N42*P42</f>
        <v/>
      </c>
      <c r="R42" s="314">
        <f>N42+Q42</f>
        <v/>
      </c>
      <c r="S42" s="312" t="inlineStr">
        <is>
          <t>表3.3-2、表3.3-5</t>
        </is>
      </c>
      <c r="T42" s="312" t="n"/>
      <c r="U42" s="114" t="n"/>
      <c r="W42" s="154" t="n"/>
      <c r="X42" s="116">
        <f>VLOOKUP(F42,{"Ⅰ","58";"Ⅱ","89";"Ⅲ","147";"Ⅳ","259";"Ⅴ","377";"Ⅵ","477"},2,0)</f>
        <v/>
      </c>
      <c r="Y42" s="111" t="n"/>
      <c r="Z42" s="116" t="n">
        <v>2.5</v>
      </c>
      <c r="AA42" s="111" t="n"/>
      <c r="AB42" s="320">
        <f>VLOOKUP(O42,{"甲级","1.2";"乙级","1.0";"丙级","0.8"},2,0)</f>
        <v/>
      </c>
      <c r="AC42" s="111" t="n"/>
      <c r="AD42" s="317">
        <f>H42+AG42-X42</f>
        <v/>
      </c>
      <c r="AE42" s="317">
        <f>M42+AH42-Z42</f>
        <v/>
      </c>
      <c r="AF42" s="317">
        <f>P42+AI42-AB42</f>
        <v/>
      </c>
      <c r="AG42" s="131" t="n"/>
      <c r="AH42" s="131" t="n"/>
      <c r="AI42" s="131" t="n"/>
      <c r="AJ42" s="131" t="n"/>
      <c r="AK42" s="131" t="n"/>
      <c r="AL42" s="131" t="n"/>
      <c r="AM42" s="131" t="n"/>
      <c r="AN42" s="131" t="n"/>
      <c r="AO42" s="131" t="n"/>
    </row>
    <row r="43" ht="12" customFormat="1" customHeight="1" s="47">
      <c r="A43" s="208" t="n">
        <v>39</v>
      </c>
      <c r="B43" s="321" t="n"/>
      <c r="C43" s="321" t="n"/>
      <c r="D43" s="321" t="n"/>
      <c r="E43" s="216" t="inlineStr">
        <is>
          <t>20＜D≤30</t>
        </is>
      </c>
      <c r="F43" s="208" t="inlineStr">
        <is>
          <t>Ⅳ</t>
        </is>
      </c>
      <c r="G43" s="312" t="inlineStr">
        <is>
          <t>m</t>
        </is>
      </c>
      <c r="H43" s="318" t="n"/>
      <c r="I43" s="312" t="n">
        <v>50</v>
      </c>
      <c r="J43" s="312" t="n"/>
      <c r="K43" s="312" t="n"/>
      <c r="L43" s="312" t="n"/>
      <c r="M43" s="313" t="n"/>
      <c r="N43" s="314">
        <f>H43*I43*M43</f>
        <v/>
      </c>
      <c r="O43" s="208" t="inlineStr">
        <is>
          <t>甲级</t>
        </is>
      </c>
      <c r="P43" s="315" t="n"/>
      <c r="Q43" s="314">
        <f>N43*P43</f>
        <v/>
      </c>
      <c r="R43" s="314">
        <f>N43+Q43</f>
        <v/>
      </c>
      <c r="S43" s="312" t="inlineStr">
        <is>
          <t>表3.3-2、表3.3-5</t>
        </is>
      </c>
      <c r="T43" s="312" t="n"/>
      <c r="U43" s="114" t="n"/>
      <c r="W43" s="154" t="n"/>
      <c r="X43" s="116">
        <f>VLOOKUP(F43,{"Ⅰ","69";"Ⅱ","107";"Ⅲ","176";"Ⅳ","311";"Ⅴ","452";"Ⅵ","573"},2,0)</f>
        <v/>
      </c>
      <c r="Y43" s="111" t="n"/>
      <c r="Z43" s="116" t="n">
        <v>2.5</v>
      </c>
      <c r="AA43" s="111" t="n"/>
      <c r="AB43" s="320">
        <f>VLOOKUP(O43,{"甲级","1.2";"乙级","1.0";"丙级","0.8"},2,0)</f>
        <v/>
      </c>
      <c r="AC43" s="111" t="n"/>
      <c r="AD43" s="317">
        <f>H43+AG43-X43</f>
        <v/>
      </c>
      <c r="AE43" s="317">
        <f>M43+AH43-Z43</f>
        <v/>
      </c>
      <c r="AF43" s="317">
        <f>P43+AI43-AB43</f>
        <v/>
      </c>
      <c r="AG43" s="131" t="n"/>
      <c r="AH43" s="131" t="n"/>
      <c r="AI43" s="131" t="n"/>
      <c r="AJ43" s="131" t="n"/>
      <c r="AK43" s="131" t="n"/>
      <c r="AL43" s="131" t="n"/>
      <c r="AM43" s="131" t="n"/>
      <c r="AN43" s="131" t="n"/>
      <c r="AO43" s="131" t="n"/>
    </row>
    <row r="44" ht="12" customFormat="1" customHeight="1" s="47">
      <c r="A44" s="208" t="n">
        <v>40</v>
      </c>
      <c r="B44" s="321" t="n"/>
      <c r="C44" s="321" t="n"/>
      <c r="D44" s="321" t="n"/>
      <c r="E44" s="216" t="inlineStr">
        <is>
          <t>30＜D≤40</t>
        </is>
      </c>
      <c r="F44" s="208" t="inlineStr">
        <is>
          <t>Ⅳ</t>
        </is>
      </c>
      <c r="G44" s="312" t="inlineStr">
        <is>
          <t>m</t>
        </is>
      </c>
      <c r="H44" s="318" t="n"/>
      <c r="I44" s="312" t="n">
        <v>25</v>
      </c>
      <c r="J44" s="312" t="n"/>
      <c r="K44" s="312" t="n"/>
      <c r="L44" s="312" t="n"/>
      <c r="M44" s="313" t="n"/>
      <c r="N44" s="314">
        <f>H44*I44*M44</f>
        <v/>
      </c>
      <c r="O44" s="208" t="inlineStr">
        <is>
          <t>甲级</t>
        </is>
      </c>
      <c r="P44" s="315" t="n"/>
      <c r="Q44" s="314">
        <f>N44*P44</f>
        <v/>
      </c>
      <c r="R44" s="314">
        <f>N44+Q44</f>
        <v/>
      </c>
      <c r="S44" s="312" t="inlineStr">
        <is>
          <t>表3.3-2、表3.3-5</t>
        </is>
      </c>
      <c r="T44" s="312" t="n"/>
      <c r="U44" s="114" t="n"/>
      <c r="W44" s="154" t="n"/>
      <c r="X44" s="116">
        <f>VLOOKUP(F44,{"Ⅰ","82";"Ⅱ","127";"Ⅲ","209";"Ⅳ","368";"Ⅴ","536";"Ⅵ","680"},2,0)</f>
        <v/>
      </c>
      <c r="Y44" s="111" t="n"/>
      <c r="Z44" s="116" t="n">
        <v>2.5</v>
      </c>
      <c r="AA44" s="111" t="n"/>
      <c r="AB44" s="320">
        <f>VLOOKUP(O44,{"甲级","1.2";"乙级","1.0";"丙级","0.8"},2,0)</f>
        <v/>
      </c>
      <c r="AC44" s="111" t="n"/>
      <c r="AD44" s="317">
        <f>H44+AG44-X44</f>
        <v/>
      </c>
      <c r="AE44" s="317">
        <f>M44+AH44-Z44</f>
        <v/>
      </c>
      <c r="AF44" s="317">
        <f>P44+AI44-AB44</f>
        <v/>
      </c>
      <c r="AG44" s="131" t="n"/>
      <c r="AH44" s="131" t="n"/>
      <c r="AI44" s="131" t="n"/>
      <c r="AJ44" s="131" t="n"/>
      <c r="AK44" s="131" t="n"/>
      <c r="AL44" s="131" t="n"/>
      <c r="AM44" s="131" t="n"/>
      <c r="AN44" s="131" t="n"/>
      <c r="AO44" s="131" t="n"/>
    </row>
    <row r="45" ht="12" customFormat="1" customHeight="1" s="47">
      <c r="A45" s="208" t="n">
        <v>41</v>
      </c>
      <c r="B45" s="321" t="n"/>
      <c r="C45" s="321" t="n"/>
      <c r="D45" s="321" t="n"/>
      <c r="E45" s="216" t="inlineStr">
        <is>
          <t>30＜D≤40</t>
        </is>
      </c>
      <c r="F45" s="208" t="inlineStr">
        <is>
          <t>Ⅴ</t>
        </is>
      </c>
      <c r="G45" s="312" t="inlineStr">
        <is>
          <t>m</t>
        </is>
      </c>
      <c r="H45" s="318" t="n"/>
      <c r="I45" s="312" t="n">
        <v>25</v>
      </c>
      <c r="J45" s="312" t="n"/>
      <c r="K45" s="312" t="n"/>
      <c r="L45" s="312" t="n"/>
      <c r="M45" s="313" t="n"/>
      <c r="N45" s="314">
        <f>H45*I45*M45</f>
        <v/>
      </c>
      <c r="O45" s="208" t="inlineStr">
        <is>
          <t>甲级</t>
        </is>
      </c>
      <c r="P45" s="315" t="n"/>
      <c r="Q45" s="314">
        <f>N45*P45</f>
        <v/>
      </c>
      <c r="R45" s="314">
        <f>N45+Q45</f>
        <v/>
      </c>
      <c r="S45" s="312" t="inlineStr">
        <is>
          <t>表3.3-2、表3.3-5</t>
        </is>
      </c>
      <c r="T45" s="312" t="n"/>
      <c r="U45" s="114" t="n"/>
      <c r="W45" s="154" t="n"/>
      <c r="X45" s="116">
        <f>VLOOKUP(F45,{"Ⅰ","82";"Ⅱ","127";"Ⅲ","209";"Ⅳ","368";"Ⅴ","536";"Ⅵ","680"},2,0)</f>
        <v/>
      </c>
      <c r="Y45" s="111" t="n"/>
      <c r="Z45" s="116" t="n">
        <v>2.5</v>
      </c>
      <c r="AA45" s="111" t="n"/>
      <c r="AB45" s="320">
        <f>VLOOKUP(O45,{"甲级","1.2";"乙级","1.0";"丙级","0.8"},2,0)</f>
        <v/>
      </c>
      <c r="AC45" s="111" t="n"/>
      <c r="AD45" s="317">
        <f>H45+AG45-X45</f>
        <v/>
      </c>
      <c r="AE45" s="317">
        <f>M45+AH45-Z45</f>
        <v/>
      </c>
      <c r="AF45" s="317">
        <f>P45+AI45-AB45</f>
        <v/>
      </c>
      <c r="AG45" s="131" t="n"/>
      <c r="AH45" s="131" t="n"/>
      <c r="AI45" s="131" t="n"/>
      <c r="AJ45" s="131" t="n"/>
      <c r="AK45" s="131" t="n"/>
      <c r="AL45" s="131" t="n"/>
      <c r="AM45" s="131" t="n"/>
      <c r="AN45" s="131" t="n"/>
      <c r="AO45" s="131" t="n"/>
    </row>
    <row r="46" ht="12" customFormat="1" customHeight="1" s="47">
      <c r="A46" s="208" t="n">
        <v>42</v>
      </c>
      <c r="B46" s="321" t="n"/>
      <c r="C46" s="321" t="n"/>
      <c r="D46" s="321" t="n"/>
      <c r="E46" s="216" t="inlineStr">
        <is>
          <t>40＜D≤50</t>
        </is>
      </c>
      <c r="F46" s="208" t="inlineStr">
        <is>
          <t>Ⅴ</t>
        </is>
      </c>
      <c r="G46" s="312" t="inlineStr">
        <is>
          <t>m</t>
        </is>
      </c>
      <c r="H46" s="318" t="n"/>
      <c r="I46" s="312" t="n">
        <v>25</v>
      </c>
      <c r="J46" s="312" t="n"/>
      <c r="K46" s="312" t="n"/>
      <c r="L46" s="312" t="n"/>
      <c r="M46" s="313" t="n"/>
      <c r="N46" s="314">
        <f>H46*I46*M46</f>
        <v/>
      </c>
      <c r="O46" s="208" t="inlineStr">
        <is>
          <t>甲级</t>
        </is>
      </c>
      <c r="P46" s="315" t="n"/>
      <c r="Q46" s="314">
        <f>N46*P46</f>
        <v/>
      </c>
      <c r="R46" s="314">
        <f>N46+Q46</f>
        <v/>
      </c>
      <c r="S46" s="312" t="inlineStr">
        <is>
          <t>表3.3-2、表3.3-5</t>
        </is>
      </c>
      <c r="T46" s="312" t="n"/>
      <c r="U46" s="115" t="n"/>
      <c r="W46" s="154" t="n"/>
      <c r="X46" s="116">
        <f>VLOOKUP(F46,{"Ⅰ","98";"Ⅱ","151";"Ⅲ","249";"Ⅳ","439";"Ⅴ","639";"Ⅵ","809"},2,0)</f>
        <v/>
      </c>
      <c r="Y46" s="111" t="n"/>
      <c r="Z46" s="118" t="n">
        <v>2.5</v>
      </c>
      <c r="AA46" s="111" t="n"/>
      <c r="AB46" s="320">
        <f>VLOOKUP(O46,{"甲级","1.2";"乙级","1.0";"丙级","0.8"},2,0)</f>
        <v/>
      </c>
      <c r="AC46" s="111" t="n"/>
      <c r="AD46" s="317">
        <f>H46+AG46-X46</f>
        <v/>
      </c>
      <c r="AE46" s="317">
        <f>M46+AH46-Z46</f>
        <v/>
      </c>
      <c r="AF46" s="317">
        <f>P46+AI46-AB46</f>
        <v/>
      </c>
      <c r="AG46" s="131" t="n"/>
      <c r="AH46" s="131" t="n"/>
      <c r="AI46" s="131" t="n"/>
      <c r="AJ46" s="131" t="n"/>
      <c r="AK46" s="131" t="n"/>
      <c r="AL46" s="131" t="n"/>
      <c r="AM46" s="131" t="n"/>
      <c r="AN46" s="131" t="n"/>
      <c r="AO46" s="131" t="n"/>
    </row>
    <row r="47" ht="12" customFormat="1" customHeight="1" s="47">
      <c r="A47" s="208" t="n">
        <v>43</v>
      </c>
      <c r="B47" s="321" t="n"/>
      <c r="C47" s="321" t="n"/>
      <c r="D47" s="321" t="n"/>
      <c r="E47" s="216" t="inlineStr">
        <is>
          <t>40＜D≤50</t>
        </is>
      </c>
      <c r="F47" s="208" t="inlineStr">
        <is>
          <t>Ⅵ</t>
        </is>
      </c>
      <c r="G47" s="312" t="inlineStr">
        <is>
          <t>m</t>
        </is>
      </c>
      <c r="H47" s="318" t="n"/>
      <c r="I47" s="312" t="n">
        <v>25</v>
      </c>
      <c r="J47" s="312" t="n"/>
      <c r="K47" s="312" t="n"/>
      <c r="L47" s="312" t="n"/>
      <c r="M47" s="313" t="n"/>
      <c r="N47" s="314">
        <f>H47*I47*M47</f>
        <v/>
      </c>
      <c r="O47" s="208" t="inlineStr">
        <is>
          <t>甲级</t>
        </is>
      </c>
      <c r="P47" s="315" t="n"/>
      <c r="Q47" s="314">
        <f>N47*P47</f>
        <v/>
      </c>
      <c r="R47" s="314">
        <f>N47+Q47</f>
        <v/>
      </c>
      <c r="S47" s="312" t="inlineStr">
        <is>
          <t>表3.3-2、表3.3-5</t>
        </is>
      </c>
      <c r="T47" s="312" t="n"/>
      <c r="U47" s="114" t="n"/>
      <c r="W47" s="154" t="n"/>
      <c r="X47" s="116">
        <f>VLOOKUP(F47,{"Ⅰ","98";"Ⅱ","151";"Ⅲ","249";"Ⅳ","439";"Ⅴ","639";"Ⅵ","809"},2,0)</f>
        <v/>
      </c>
      <c r="Y47" s="111" t="n"/>
      <c r="Z47" s="118" t="n">
        <v>2.5</v>
      </c>
      <c r="AA47" s="111" t="n"/>
      <c r="AB47" s="320">
        <f>VLOOKUP(O47,{"甲级","1.2";"乙级","1.0";"丙级","0.8"},2,0)</f>
        <v/>
      </c>
      <c r="AC47" s="111" t="n"/>
      <c r="AD47" s="317">
        <f>H47+AG47-X47</f>
        <v/>
      </c>
      <c r="AE47" s="317">
        <f>M47+AH47-Z47</f>
        <v/>
      </c>
      <c r="AF47" s="317">
        <f>P47+AI47-AB47</f>
        <v/>
      </c>
      <c r="AG47" s="131" t="n"/>
      <c r="AH47" s="131" t="n"/>
      <c r="AI47" s="131" t="n"/>
      <c r="AJ47" s="131" t="n"/>
      <c r="AK47" s="131" t="n"/>
      <c r="AL47" s="131" t="n"/>
      <c r="AM47" s="131" t="n"/>
      <c r="AN47" s="131" t="n"/>
      <c r="AO47" s="131" t="n"/>
    </row>
    <row r="48" ht="12" customFormat="1" customHeight="1" s="47">
      <c r="A48" s="208" t="n">
        <v>44</v>
      </c>
      <c r="B48" s="321" t="n"/>
      <c r="C48" s="321" t="n"/>
      <c r="D48" s="321" t="n"/>
      <c r="E48" s="216" t="inlineStr">
        <is>
          <t>50＜D≤60</t>
        </is>
      </c>
      <c r="F48" s="208" t="inlineStr">
        <is>
          <t>Ⅵ</t>
        </is>
      </c>
      <c r="G48" s="312" t="inlineStr">
        <is>
          <t>m</t>
        </is>
      </c>
      <c r="H48" s="318" t="n"/>
      <c r="I48" s="312" t="n">
        <v>50</v>
      </c>
      <c r="J48" s="312" t="n"/>
      <c r="K48" s="312" t="n"/>
      <c r="L48" s="312" t="n"/>
      <c r="M48" s="313" t="n"/>
      <c r="N48" s="314">
        <f>H48*I48*M48</f>
        <v/>
      </c>
      <c r="O48" s="208" t="inlineStr">
        <is>
          <t>甲级</t>
        </is>
      </c>
      <c r="P48" s="315" t="n"/>
      <c r="Q48" s="314">
        <f>N48*P48</f>
        <v/>
      </c>
      <c r="R48" s="314">
        <f>N48+Q48</f>
        <v/>
      </c>
      <c r="S48" s="312" t="inlineStr">
        <is>
          <t>表3.3-2、表3.3-5</t>
        </is>
      </c>
      <c r="T48" s="312" t="n"/>
      <c r="U48" s="114" t="n"/>
      <c r="W48" s="154" t="n"/>
      <c r="X48" s="323">
        <f>VLOOKUP(F48,{"Ⅰ","109";"Ⅱ","168";"Ⅲ","277";"Ⅳ","489";"Ⅴ","711";"Ⅵ","901"},2,0)</f>
        <v/>
      </c>
      <c r="Y48" s="111" t="n"/>
      <c r="Z48" s="118" t="n">
        <v>2.5</v>
      </c>
      <c r="AA48" s="111" t="n"/>
      <c r="AB48" s="320">
        <f>VLOOKUP(O48,{"甲级","1.2";"乙级","1.0";"丙级","0.8"},2,0)</f>
        <v/>
      </c>
      <c r="AC48" s="111" t="n"/>
      <c r="AD48" s="317">
        <f>H48+AG48-X48</f>
        <v/>
      </c>
      <c r="AE48" s="317">
        <f>M48+AH48-Z48</f>
        <v/>
      </c>
      <c r="AF48" s="317">
        <f>P48+AI48-AB48</f>
        <v/>
      </c>
      <c r="AG48" s="131" t="n"/>
      <c r="AH48" s="131" t="n"/>
      <c r="AI48" s="131" t="n"/>
      <c r="AJ48" s="131" t="n"/>
      <c r="AK48" s="131" t="n"/>
      <c r="AL48" s="131" t="n"/>
      <c r="AM48" s="131" t="n"/>
      <c r="AN48" s="131" t="n"/>
      <c r="AO48" s="131" t="n"/>
    </row>
    <row r="49" ht="12" customFormat="1" customHeight="1" s="47">
      <c r="A49" s="208" t="n">
        <v>45</v>
      </c>
      <c r="B49" s="321" t="n"/>
      <c r="C49" s="321" t="n"/>
      <c r="D49" s="321" t="n"/>
      <c r="E49" s="216" t="inlineStr">
        <is>
          <t>60＜D≤80</t>
        </is>
      </c>
      <c r="F49" s="208" t="inlineStr">
        <is>
          <t>Ⅵ</t>
        </is>
      </c>
      <c r="G49" s="312" t="inlineStr">
        <is>
          <t>m</t>
        </is>
      </c>
      <c r="H49" s="318" t="n"/>
      <c r="I49" s="312" t="n">
        <v>35</v>
      </c>
      <c r="J49" s="312" t="n"/>
      <c r="K49" s="312" t="n"/>
      <c r="L49" s="312" t="n"/>
      <c r="M49" s="313" t="n"/>
      <c r="N49" s="314">
        <f>H49*I49*M49</f>
        <v/>
      </c>
      <c r="O49" s="208" t="inlineStr">
        <is>
          <t>甲级</t>
        </is>
      </c>
      <c r="P49" s="315" t="n"/>
      <c r="Q49" s="314">
        <f>N49*P49</f>
        <v/>
      </c>
      <c r="R49" s="314">
        <f>N49+Q49</f>
        <v/>
      </c>
      <c r="S49" s="312" t="inlineStr">
        <is>
          <t>表3.3-2、表3.3-5</t>
        </is>
      </c>
      <c r="T49" s="312" t="n"/>
      <c r="U49" s="114" t="n"/>
      <c r="W49" s="154" t="n"/>
      <c r="X49" s="323">
        <f>VLOOKUP(F49,{"Ⅰ","121";"Ⅱ","187";"Ⅲ","307";"Ⅳ","542";"Ⅴ","789";"Ⅵ","1000"},2,0)</f>
        <v/>
      </c>
      <c r="Y49" s="111" t="n"/>
      <c r="Z49" s="118" t="n">
        <v>2.5</v>
      </c>
      <c r="AA49" s="111" t="n"/>
      <c r="AB49" s="320">
        <f>VLOOKUP(O49,{"甲级","1.2";"乙级","1.0";"丙级","0.8"},2,0)</f>
        <v/>
      </c>
      <c r="AC49" s="111" t="n"/>
      <c r="AD49" s="317">
        <f>H49+AG49-X49</f>
        <v/>
      </c>
      <c r="AE49" s="317">
        <f>M49+AH49-Z49</f>
        <v/>
      </c>
      <c r="AF49" s="317">
        <f>P49+AI49-AB49</f>
        <v/>
      </c>
      <c r="AG49" s="131" t="n"/>
      <c r="AH49" s="131" t="n"/>
      <c r="AI49" s="131" t="n"/>
      <c r="AJ49" s="131" t="n"/>
      <c r="AK49" s="131" t="n"/>
      <c r="AL49" s="131" t="n"/>
      <c r="AM49" s="131" t="n"/>
      <c r="AN49" s="131" t="n"/>
      <c r="AO49" s="131" t="n"/>
    </row>
    <row r="50" ht="12" customFormat="1" customHeight="1" s="47">
      <c r="A50" s="208" t="n">
        <v>46</v>
      </c>
      <c r="B50" s="321" t="n"/>
      <c r="C50" s="321" t="n"/>
      <c r="D50" s="321" t="n"/>
      <c r="E50" s="216" t="inlineStr">
        <is>
          <t>80＜D≤100</t>
        </is>
      </c>
      <c r="F50" s="208" t="inlineStr">
        <is>
          <t>Ⅵ</t>
        </is>
      </c>
      <c r="G50" s="312" t="inlineStr">
        <is>
          <t>m</t>
        </is>
      </c>
      <c r="H50" s="318" t="n"/>
      <c r="I50" s="312" t="n"/>
      <c r="J50" s="312" t="n"/>
      <c r="K50" s="312" t="n"/>
      <c r="L50" s="312" t="n"/>
      <c r="M50" s="313" t="n"/>
      <c r="N50" s="314">
        <f>H50*I50*M50</f>
        <v/>
      </c>
      <c r="O50" s="208" t="inlineStr">
        <is>
          <t>甲级</t>
        </is>
      </c>
      <c r="P50" s="315" t="n"/>
      <c r="Q50" s="314">
        <f>N50*P50</f>
        <v/>
      </c>
      <c r="R50" s="314">
        <f>N50+Q50</f>
        <v/>
      </c>
      <c r="S50" s="312" t="inlineStr">
        <is>
          <t>表3.3-2、表3.3-5</t>
        </is>
      </c>
      <c r="T50" s="312" t="n"/>
      <c r="U50" s="103" t="n"/>
      <c r="W50" s="154" t="n"/>
      <c r="X50" s="323">
        <f>VLOOKUP(F50,{"Ⅰ","132";"Ⅱ","204";"Ⅲ","335";"Ⅳ","592";"Ⅴ","862";"Ⅵ","1092"},2,0)</f>
        <v/>
      </c>
      <c r="Y50" s="111" t="n"/>
      <c r="Z50" s="118" t="n">
        <v>2.5</v>
      </c>
      <c r="AA50" s="111" t="n"/>
      <c r="AB50" s="320">
        <f>VLOOKUP(O50,{"甲级","1.2";"乙级","1.0";"丙级","0.8"},2,0)</f>
        <v/>
      </c>
      <c r="AC50" s="111" t="n"/>
      <c r="AD50" s="317">
        <f>H50+AG50-X50</f>
        <v/>
      </c>
      <c r="AE50" s="317">
        <f>M50+AH50-Z50</f>
        <v/>
      </c>
      <c r="AF50" s="317">
        <f>P50+AI50-AB50</f>
        <v/>
      </c>
      <c r="AG50" s="131" t="n"/>
      <c r="AH50" s="131" t="n"/>
      <c r="AI50" s="131" t="n"/>
      <c r="AJ50" s="131" t="n"/>
      <c r="AK50" s="131" t="n"/>
      <c r="AL50" s="131" t="n"/>
      <c r="AM50" s="131" t="n"/>
      <c r="AN50" s="131" t="n"/>
      <c r="AO50" s="131" t="n"/>
    </row>
    <row r="51" ht="12" customFormat="1" customHeight="1" s="47">
      <c r="A51" s="208" t="n">
        <v>47</v>
      </c>
      <c r="B51" s="321" t="n"/>
      <c r="C51" s="321" t="n"/>
      <c r="D51" s="321" t="n"/>
      <c r="E51" s="216" t="inlineStr">
        <is>
          <t>100＜D≤120</t>
        </is>
      </c>
      <c r="F51" s="208">
        <f>F50</f>
        <v/>
      </c>
      <c r="G51" s="312" t="inlineStr">
        <is>
          <t>m</t>
        </is>
      </c>
      <c r="H51" s="318" t="n"/>
      <c r="I51" s="312" t="n"/>
      <c r="J51" s="312" t="n"/>
      <c r="K51" s="312" t="n"/>
      <c r="L51" s="312" t="n"/>
      <c r="M51" s="313" t="n"/>
      <c r="N51" s="314">
        <f>H51*I51*M51</f>
        <v/>
      </c>
      <c r="O51" s="208" t="inlineStr">
        <is>
          <t>甲级</t>
        </is>
      </c>
      <c r="P51" s="315" t="n"/>
      <c r="Q51" s="314">
        <f>N51*P51</f>
        <v/>
      </c>
      <c r="R51" s="314">
        <f>N51+Q51</f>
        <v/>
      </c>
      <c r="S51" s="312" t="inlineStr">
        <is>
          <t>表3.3-2、表3.3-5</t>
        </is>
      </c>
      <c r="T51" s="312" t="n"/>
      <c r="U51" s="103" t="n"/>
      <c r="W51" s="154" t="n"/>
      <c r="X51" s="323">
        <f>H50*1.2</f>
        <v/>
      </c>
      <c r="Y51" s="111" t="n"/>
      <c r="Z51" s="118" t="n">
        <v>2.5</v>
      </c>
      <c r="AA51" s="111" t="n"/>
      <c r="AB51" s="320">
        <f>VLOOKUP(O51,{"甲级","1.2";"乙级","1.0";"丙级","0.8"},2,0)</f>
        <v/>
      </c>
      <c r="AC51" s="111" t="n"/>
      <c r="AD51" s="317">
        <f>H51+AG51-X51</f>
        <v/>
      </c>
      <c r="AE51" s="317">
        <f>M51+AH51-Z51</f>
        <v/>
      </c>
      <c r="AF51" s="317">
        <f>P51+AI51-AB51</f>
        <v/>
      </c>
      <c r="AG51" s="131" t="n"/>
      <c r="AH51" s="131" t="n"/>
      <c r="AI51" s="131" t="n"/>
      <c r="AJ51" s="131" t="n"/>
      <c r="AK51" s="131" t="n"/>
      <c r="AL51" s="131" t="n"/>
      <c r="AM51" s="131" t="n"/>
      <c r="AN51" s="131" t="n"/>
      <c r="AO51" s="131" t="n"/>
    </row>
    <row r="52" ht="12" customFormat="1" customHeight="1" s="47">
      <c r="A52" s="208" t="n">
        <v>48</v>
      </c>
      <c r="B52" s="321" t="n"/>
      <c r="C52" s="321" t="n"/>
      <c r="D52" s="321" t="n"/>
      <c r="E52" s="216" t="inlineStr">
        <is>
          <t>120＜D≤140</t>
        </is>
      </c>
      <c r="F52" s="208">
        <f>F50</f>
        <v/>
      </c>
      <c r="G52" s="312" t="inlineStr">
        <is>
          <t>m</t>
        </is>
      </c>
      <c r="H52" s="318" t="n"/>
      <c r="I52" s="312" t="n"/>
      <c r="J52" s="312" t="n"/>
      <c r="K52" s="312" t="n"/>
      <c r="L52" s="312" t="n"/>
      <c r="M52" s="313" t="n"/>
      <c r="N52" s="314">
        <f>H52*I52*M52</f>
        <v/>
      </c>
      <c r="O52" s="208" t="inlineStr">
        <is>
          <t>甲级</t>
        </is>
      </c>
      <c r="P52" s="315" t="n"/>
      <c r="Q52" s="314">
        <f>N52*P52</f>
        <v/>
      </c>
      <c r="R52" s="314">
        <f>N52+Q52</f>
        <v/>
      </c>
      <c r="S52" s="312" t="inlineStr">
        <is>
          <t>表3.3-2、表3.3-5</t>
        </is>
      </c>
      <c r="T52" s="312" t="n"/>
      <c r="U52" s="103" t="n"/>
      <c r="W52" s="154" t="n"/>
      <c r="X52" s="323">
        <f>H51*1.2</f>
        <v/>
      </c>
      <c r="Y52" s="111" t="n"/>
      <c r="Z52" s="118" t="n">
        <v>2.5</v>
      </c>
      <c r="AA52" s="111" t="n"/>
      <c r="AB52" s="320">
        <f>VLOOKUP(O52,{"甲级","1.2";"乙级","1.0";"丙级","0.8"},2,0)</f>
        <v/>
      </c>
      <c r="AC52" s="111" t="n"/>
      <c r="AD52" s="317">
        <f>H52+AG52-X52</f>
        <v/>
      </c>
      <c r="AE52" s="317">
        <f>M52+AH52-Z52</f>
        <v/>
      </c>
      <c r="AF52" s="317">
        <f>P52+AI52-AB52</f>
        <v/>
      </c>
      <c r="AG52" s="131" t="n"/>
      <c r="AH52" s="131" t="n"/>
      <c r="AI52" s="131" t="n"/>
      <c r="AJ52" s="131" t="n"/>
      <c r="AK52" s="131" t="n"/>
      <c r="AL52" s="131" t="n"/>
      <c r="AM52" s="131" t="n"/>
      <c r="AN52" s="131" t="n"/>
      <c r="AO52" s="131" t="n"/>
    </row>
    <row r="53" ht="14.4" customFormat="1" customHeight="1" s="47">
      <c r="A53" s="208" t="n">
        <v>49</v>
      </c>
      <c r="B53" s="321" t="n"/>
      <c r="C53" s="321" t="n"/>
      <c r="D53" s="321" t="n"/>
      <c r="E53" s="216" t="inlineStr">
        <is>
          <t>140＜D≤160</t>
        </is>
      </c>
      <c r="F53" s="208">
        <f>F50</f>
        <v/>
      </c>
      <c r="G53" s="312" t="inlineStr">
        <is>
          <t>m</t>
        </is>
      </c>
      <c r="H53" s="318" t="n"/>
      <c r="I53" s="312" t="n"/>
      <c r="J53" s="312" t="n"/>
      <c r="K53" s="312" t="n"/>
      <c r="L53" s="312" t="n"/>
      <c r="M53" s="313" t="n"/>
      <c r="N53" s="314">
        <f>H53*I53*M53</f>
        <v/>
      </c>
      <c r="O53" s="208" t="inlineStr">
        <is>
          <t>甲级</t>
        </is>
      </c>
      <c r="P53" s="315" t="n"/>
      <c r="Q53" s="314">
        <f>N53*P53</f>
        <v/>
      </c>
      <c r="R53" s="314">
        <f>N53+Q53</f>
        <v/>
      </c>
      <c r="S53" s="312" t="inlineStr">
        <is>
          <t>表3.3-2、表3.3-5</t>
        </is>
      </c>
      <c r="T53" s="312" t="n"/>
      <c r="U53" s="104" t="n"/>
      <c r="W53" s="154" t="n"/>
      <c r="X53" s="323">
        <f>H52*1.2</f>
        <v/>
      </c>
      <c r="Y53" s="111" t="n"/>
      <c r="Z53" s="118" t="n">
        <v>2.5</v>
      </c>
      <c r="AA53" s="111" t="n"/>
      <c r="AB53" s="320">
        <f>VLOOKUP(O53,{"甲级","1.2";"乙级","1.0";"丙级","0.8"},2,0)</f>
        <v/>
      </c>
      <c r="AC53" s="111" t="n"/>
      <c r="AD53" s="317">
        <f>H53+AG53-X53</f>
        <v/>
      </c>
      <c r="AE53" s="317">
        <f>M53+AH53-Z53</f>
        <v/>
      </c>
      <c r="AF53" s="317">
        <f>P53+AI53-AB53</f>
        <v/>
      </c>
      <c r="AG53" s="131" t="n"/>
      <c r="AH53" s="131" t="n"/>
      <c r="AI53" s="131" t="n"/>
      <c r="AJ53" s="131" t="n"/>
      <c r="AK53" s="131" t="n"/>
      <c r="AL53" s="131" t="n"/>
      <c r="AM53" s="131" t="n"/>
      <c r="AN53" s="131" t="n"/>
      <c r="AO53" s="131" t="n"/>
    </row>
    <row r="54" ht="14.4" customFormat="1" customHeight="1" s="47">
      <c r="A54" s="208" t="n">
        <v>50</v>
      </c>
      <c r="B54" s="321" t="n"/>
      <c r="C54" s="321" t="n"/>
      <c r="D54" s="321" t="n"/>
      <c r="E54" s="216" t="inlineStr">
        <is>
          <t>160＜D≤180</t>
        </is>
      </c>
      <c r="F54" s="208">
        <f>F50</f>
        <v/>
      </c>
      <c r="G54" s="312" t="inlineStr">
        <is>
          <t>m</t>
        </is>
      </c>
      <c r="H54" s="318" t="n"/>
      <c r="I54" s="312" t="n"/>
      <c r="J54" s="312" t="n"/>
      <c r="K54" s="312" t="n"/>
      <c r="L54" s="312" t="n"/>
      <c r="M54" s="313" t="n"/>
      <c r="N54" s="314">
        <f>H54*I54*M54</f>
        <v/>
      </c>
      <c r="O54" s="208" t="inlineStr">
        <is>
          <t>甲级</t>
        </is>
      </c>
      <c r="P54" s="315" t="n"/>
      <c r="Q54" s="314">
        <f>N54*P54</f>
        <v/>
      </c>
      <c r="R54" s="314">
        <f>N54+Q54</f>
        <v/>
      </c>
      <c r="S54" s="312" t="inlineStr">
        <is>
          <t>表3.3-2、表3.3-5</t>
        </is>
      </c>
      <c r="T54" s="312" t="n"/>
      <c r="U54" s="104" t="n"/>
      <c r="W54" s="154" t="n"/>
      <c r="X54" s="323">
        <f>H53*1.2</f>
        <v/>
      </c>
      <c r="Y54" s="111" t="n"/>
      <c r="Z54" s="118" t="n">
        <v>2.5</v>
      </c>
      <c r="AA54" s="111" t="n"/>
      <c r="AB54" s="320">
        <f>VLOOKUP(O54,{"甲级","1.2";"乙级","1.0";"丙级","0.8"},2,0)</f>
        <v/>
      </c>
      <c r="AC54" s="111" t="n"/>
      <c r="AD54" s="317">
        <f>H54+AG54-X54</f>
        <v/>
      </c>
      <c r="AE54" s="317">
        <f>M54+AH54-Z54</f>
        <v/>
      </c>
      <c r="AF54" s="317">
        <f>P54+AI54-AB54</f>
        <v/>
      </c>
      <c r="AG54" s="131" t="n"/>
      <c r="AH54" s="131" t="n"/>
      <c r="AI54" s="131" t="n"/>
      <c r="AJ54" s="131" t="n"/>
      <c r="AK54" s="131" t="n"/>
      <c r="AL54" s="131" t="n"/>
      <c r="AM54" s="131" t="n"/>
      <c r="AN54" s="131" t="n"/>
      <c r="AO54" s="131" t="n"/>
    </row>
    <row r="55" ht="14.4" customFormat="1" customHeight="1" s="47">
      <c r="A55" s="208" t="n">
        <v>51</v>
      </c>
      <c r="B55" s="321" t="n"/>
      <c r="C55" s="307" t="n"/>
      <c r="D55" s="307" t="n"/>
      <c r="E55" s="216" t="inlineStr">
        <is>
          <t>180＜D≤200</t>
        </is>
      </c>
      <c r="F55" s="208">
        <f>F50</f>
        <v/>
      </c>
      <c r="G55" s="312" t="inlineStr">
        <is>
          <t>m</t>
        </is>
      </c>
      <c r="H55" s="318" t="n"/>
      <c r="I55" s="312" t="n"/>
      <c r="J55" s="312" t="n"/>
      <c r="K55" s="312" t="n"/>
      <c r="L55" s="312" t="n"/>
      <c r="M55" s="313" t="n"/>
      <c r="N55" s="314">
        <f>H55*I55*M55</f>
        <v/>
      </c>
      <c r="O55" s="208" t="inlineStr">
        <is>
          <t>甲级</t>
        </is>
      </c>
      <c r="P55" s="315" t="n"/>
      <c r="Q55" s="314">
        <f>N55*P55</f>
        <v/>
      </c>
      <c r="R55" s="314">
        <f>N55+Q55</f>
        <v/>
      </c>
      <c r="S55" s="312" t="inlineStr">
        <is>
          <t>表3.3-2、表3.3-5</t>
        </is>
      </c>
      <c r="T55" s="312" t="n"/>
      <c r="U55" s="104" t="n"/>
      <c r="W55" s="154" t="n"/>
      <c r="X55" s="323">
        <f>H54*1.2</f>
        <v/>
      </c>
      <c r="Y55" s="111" t="n"/>
      <c r="Z55" s="118" t="n">
        <v>2.5</v>
      </c>
      <c r="AA55" s="111" t="n"/>
      <c r="AB55" s="320">
        <f>VLOOKUP(O55,{"甲级","1.2";"乙级","1.0";"丙级","0.8"},2,0)</f>
        <v/>
      </c>
      <c r="AC55" s="111" t="n"/>
      <c r="AD55" s="317">
        <f>H55+AG55-X55</f>
        <v/>
      </c>
      <c r="AE55" s="317">
        <f>M55+AH55-Z55</f>
        <v/>
      </c>
      <c r="AF55" s="317">
        <f>P55+AI55-AB55</f>
        <v/>
      </c>
      <c r="AG55" s="131" t="n"/>
      <c r="AH55" s="131" t="n"/>
      <c r="AI55" s="131" t="n"/>
      <c r="AJ55" s="131" t="n"/>
      <c r="AK55" s="131" t="n"/>
      <c r="AL55" s="131" t="n"/>
      <c r="AM55" s="131" t="n"/>
      <c r="AN55" s="131" t="n"/>
      <c r="AO55" s="131" t="n"/>
    </row>
    <row r="56" ht="14.4" customFormat="1" customHeight="1" s="47">
      <c r="A56" s="208" t="n">
        <v>52</v>
      </c>
      <c r="B56" s="321" t="n"/>
      <c r="C56" s="210" t="inlineStr">
        <is>
          <t>探井</t>
        </is>
      </c>
      <c r="D56" s="324" t="n"/>
      <c r="E56" s="216" t="inlineStr">
        <is>
          <t>D≤2</t>
        </is>
      </c>
      <c r="F56" s="208" t="inlineStr">
        <is>
          <t>Ⅱ</t>
        </is>
      </c>
      <c r="G56" s="312" t="inlineStr">
        <is>
          <t>m</t>
        </is>
      </c>
      <c r="H56" s="318" t="n"/>
      <c r="I56" s="312" t="n"/>
      <c r="J56" s="312" t="n"/>
      <c r="K56" s="312" t="n"/>
      <c r="L56" s="312" t="n"/>
      <c r="M56" s="313" t="n"/>
      <c r="N56" s="314">
        <f>H56*I56*M56</f>
        <v/>
      </c>
      <c r="O56" s="208" t="inlineStr">
        <is>
          <t>甲级</t>
        </is>
      </c>
      <c r="P56" s="315" t="n"/>
      <c r="Q56" s="314">
        <f>N56*P56</f>
        <v/>
      </c>
      <c r="R56" s="314">
        <f>N56+Q56</f>
        <v/>
      </c>
      <c r="S56" s="312" t="inlineStr">
        <is>
          <t>表3.3-2、表3.3-5</t>
        </is>
      </c>
      <c r="T56" s="312" t="n"/>
      <c r="U56" s="104" t="n"/>
      <c r="W56" s="154" t="n"/>
      <c r="X56" s="323">
        <f>VLOOKUP(F56,{"Ⅰ","50";"Ⅱ","63";"Ⅲ","78";"Ⅳ","125";"Ⅴ","200";"Ⅵ","250"},2,0)</f>
        <v/>
      </c>
      <c r="Y56" s="111" t="n"/>
      <c r="Z56" s="118" t="n">
        <v>1.3</v>
      </c>
      <c r="AA56" s="111" t="n"/>
      <c r="AB56" s="320">
        <f>VLOOKUP(O56,{"甲级","1.2";"乙级","1.0";"丙级","0.8"},2,0)</f>
        <v/>
      </c>
      <c r="AC56" s="111" t="n"/>
      <c r="AD56" s="317">
        <f>H56+AG56-X56</f>
        <v/>
      </c>
      <c r="AE56" s="317">
        <f>M56+AH56-Z56</f>
        <v/>
      </c>
      <c r="AF56" s="317">
        <f>P56+AI56-AB56</f>
        <v/>
      </c>
      <c r="AG56" s="131" t="n"/>
      <c r="AH56" s="131" t="n"/>
      <c r="AI56" s="131" t="n"/>
      <c r="AJ56" s="131" t="n"/>
      <c r="AK56" s="131" t="n"/>
      <c r="AL56" s="131" t="n"/>
      <c r="AM56" s="131" t="n"/>
      <c r="AN56" s="131" t="n"/>
      <c r="AO56" s="131" t="n"/>
    </row>
    <row r="57" ht="14.4" customFormat="1" customHeight="1" s="47">
      <c r="A57" s="208" t="n">
        <v>53</v>
      </c>
      <c r="B57" s="321" t="n"/>
      <c r="C57" s="325" t="n"/>
      <c r="D57" s="302" t="n"/>
      <c r="E57" s="216" t="inlineStr">
        <is>
          <t>2＜D≤5</t>
        </is>
      </c>
      <c r="F57" s="208" t="inlineStr">
        <is>
          <t>Ⅲ</t>
        </is>
      </c>
      <c r="G57" s="312" t="inlineStr">
        <is>
          <t>m</t>
        </is>
      </c>
      <c r="H57" s="318" t="n"/>
      <c r="I57" s="312" t="n"/>
      <c r="J57" s="312" t="n"/>
      <c r="K57" s="312" t="n"/>
      <c r="L57" s="312" t="n"/>
      <c r="M57" s="313" t="n"/>
      <c r="N57" s="314">
        <f>H57*I57*M57</f>
        <v/>
      </c>
      <c r="O57" s="208" t="inlineStr">
        <is>
          <t>甲级</t>
        </is>
      </c>
      <c r="P57" s="315" t="n"/>
      <c r="Q57" s="314">
        <f>N57*P57</f>
        <v/>
      </c>
      <c r="R57" s="314">
        <f>N57+Q57</f>
        <v/>
      </c>
      <c r="S57" s="312" t="inlineStr">
        <is>
          <t>表3.3-2、表3.3-5</t>
        </is>
      </c>
      <c r="T57" s="312" t="n"/>
      <c r="U57" s="104" t="n"/>
      <c r="W57" s="154" t="n"/>
      <c r="X57" s="323">
        <f>VLOOKUP(F57,{"Ⅰ","63";"Ⅱ","78";"Ⅲ","97";"Ⅳ","156";"Ⅴ","250";"Ⅵ","313"},2,0)</f>
        <v/>
      </c>
      <c r="Y57" s="111" t="n"/>
      <c r="Z57" s="118" t="n">
        <v>1.3</v>
      </c>
      <c r="AA57" s="111" t="n"/>
      <c r="AB57" s="320">
        <f>VLOOKUP(O57,{"甲级","1.2";"乙级","1.0";"丙级","0.8"},2,0)</f>
        <v/>
      </c>
      <c r="AC57" s="111" t="n"/>
      <c r="AD57" s="317">
        <f>H57+AG57-X57</f>
        <v/>
      </c>
      <c r="AE57" s="317">
        <f>M57+AH57-Z57</f>
        <v/>
      </c>
      <c r="AF57" s="317">
        <f>P57+AI57-AB57</f>
        <v/>
      </c>
      <c r="AG57" s="131" t="n"/>
      <c r="AH57" s="131" t="n"/>
      <c r="AI57" s="131" t="n"/>
      <c r="AJ57" s="131" t="n"/>
      <c r="AK57" s="131" t="n"/>
      <c r="AL57" s="131" t="n"/>
      <c r="AM57" s="131" t="n"/>
      <c r="AN57" s="131" t="n"/>
      <c r="AO57" s="131" t="n"/>
    </row>
    <row r="58" ht="14.4" customFormat="1" customHeight="1" s="47">
      <c r="A58" s="208" t="n">
        <v>54</v>
      </c>
      <c r="B58" s="321" t="n"/>
      <c r="C58" s="325" t="n"/>
      <c r="D58" s="302" t="n"/>
      <c r="E58" s="216" t="inlineStr">
        <is>
          <t>5＜D≤10</t>
        </is>
      </c>
      <c r="F58" s="208" t="inlineStr">
        <is>
          <t>Ⅰ</t>
        </is>
      </c>
      <c r="G58" s="312" t="inlineStr">
        <is>
          <t>m</t>
        </is>
      </c>
      <c r="H58" s="318" t="n"/>
      <c r="I58" s="312" t="n"/>
      <c r="J58" s="312" t="n"/>
      <c r="K58" s="312" t="n"/>
      <c r="L58" s="312" t="n"/>
      <c r="M58" s="313" t="n"/>
      <c r="N58" s="314">
        <f>H58*I58*M58</f>
        <v/>
      </c>
      <c r="O58" s="208" t="inlineStr">
        <is>
          <t>甲级</t>
        </is>
      </c>
      <c r="P58" s="315" t="n"/>
      <c r="Q58" s="314">
        <f>N58*P58</f>
        <v/>
      </c>
      <c r="R58" s="314">
        <f>N58+Q58</f>
        <v/>
      </c>
      <c r="S58" s="312" t="inlineStr">
        <is>
          <t>表3.3-2、表3.3-5</t>
        </is>
      </c>
      <c r="T58" s="312" t="n"/>
      <c r="U58" s="104" t="n"/>
      <c r="W58" s="154" t="n"/>
      <c r="X58" s="323">
        <f>VLOOKUP(F58,{"Ⅰ","78";"Ⅱ","97";"Ⅲ","120";"Ⅳ","194";"Ⅴ","310";"Ⅵ","388"},2,0)</f>
        <v/>
      </c>
      <c r="Y58" s="111" t="n"/>
      <c r="Z58" s="118" t="n">
        <v>1.3</v>
      </c>
      <c r="AA58" s="111" t="n"/>
      <c r="AB58" s="320">
        <f>VLOOKUP(O58,{"甲级","1.2";"乙级","1.0";"丙级","0.8"},2,0)</f>
        <v/>
      </c>
      <c r="AC58" s="111" t="n"/>
      <c r="AD58" s="317">
        <f>H58+AG58-X58</f>
        <v/>
      </c>
      <c r="AE58" s="317">
        <f>M58+AH58-Z58</f>
        <v/>
      </c>
      <c r="AF58" s="317">
        <f>P58+AI58-AB58</f>
        <v/>
      </c>
      <c r="AG58" s="131" t="n"/>
      <c r="AH58" s="131" t="n"/>
      <c r="AI58" s="131" t="n"/>
      <c r="AJ58" s="131" t="n"/>
      <c r="AK58" s="131" t="n"/>
      <c r="AL58" s="131" t="n"/>
      <c r="AM58" s="131" t="n"/>
      <c r="AN58" s="131" t="n"/>
      <c r="AO58" s="131" t="n"/>
    </row>
    <row r="59" ht="14.4" customFormat="1" customHeight="1" s="47">
      <c r="A59" s="208" t="n">
        <v>55</v>
      </c>
      <c r="B59" s="321" t="n"/>
      <c r="C59" s="326" t="n"/>
      <c r="D59" s="327" t="n"/>
      <c r="E59" s="216" t="inlineStr">
        <is>
          <t>10＜D≤20</t>
        </is>
      </c>
      <c r="F59" s="208" t="inlineStr">
        <is>
          <t>Ⅰ</t>
        </is>
      </c>
      <c r="G59" s="312" t="inlineStr">
        <is>
          <t>m</t>
        </is>
      </c>
      <c r="H59" s="318" t="n"/>
      <c r="I59" s="312" t="n"/>
      <c r="J59" s="312" t="n"/>
      <c r="K59" s="312" t="n"/>
      <c r="L59" s="312" t="n"/>
      <c r="M59" s="313" t="n"/>
      <c r="N59" s="314">
        <f>H59*I59*M59</f>
        <v/>
      </c>
      <c r="O59" s="208" t="inlineStr">
        <is>
          <t>甲级</t>
        </is>
      </c>
      <c r="P59" s="315" t="n"/>
      <c r="Q59" s="314">
        <f>N59*P59</f>
        <v/>
      </c>
      <c r="R59" s="314">
        <f>N59+Q59</f>
        <v/>
      </c>
      <c r="S59" s="312" t="inlineStr">
        <is>
          <t>表3.3-2、表3.3-5</t>
        </is>
      </c>
      <c r="T59" s="312" t="n"/>
      <c r="U59" s="104" t="n"/>
      <c r="W59" s="154" t="n"/>
      <c r="X59" s="323">
        <f>VLOOKUP(F59,{"Ⅰ","103";"Ⅱ","128";"Ⅲ","159";"Ⅳ","256";"Ⅴ","410";"Ⅵ","513"},2,0)</f>
        <v/>
      </c>
      <c r="Y59" s="111" t="n"/>
      <c r="Z59" s="118" t="n">
        <v>1.3</v>
      </c>
      <c r="AA59" s="111" t="n"/>
      <c r="AB59" s="320">
        <f>VLOOKUP(O59,{"甲级","1.2";"乙级","1.0";"丙级","0.8"},2,0)</f>
        <v/>
      </c>
      <c r="AC59" s="111" t="n"/>
      <c r="AD59" s="317">
        <f>H59+AG59-X59</f>
        <v/>
      </c>
      <c r="AE59" s="317">
        <f>M59+AH59-Z59</f>
        <v/>
      </c>
      <c r="AF59" s="317">
        <f>P59+AI59-AB59</f>
        <v/>
      </c>
      <c r="AG59" s="131" t="n"/>
      <c r="AH59" s="131" t="n"/>
      <c r="AI59" s="131" t="n"/>
      <c r="AJ59" s="131" t="n"/>
      <c r="AK59" s="131" t="n"/>
      <c r="AL59" s="131" t="n"/>
      <c r="AM59" s="131" t="n"/>
      <c r="AN59" s="131" t="n"/>
      <c r="AO59" s="131" t="n"/>
    </row>
    <row r="60" ht="14.4" customFormat="1" customHeight="1" s="47">
      <c r="A60" s="208" t="n">
        <v>56</v>
      </c>
      <c r="B60" s="321" t="n"/>
      <c r="C60" s="210" t="inlineStr">
        <is>
          <t>探槽</t>
        </is>
      </c>
      <c r="D60" s="324" t="n"/>
      <c r="E60" s="216" t="inlineStr">
        <is>
          <t xml:space="preserve">  D≤2</t>
        </is>
      </c>
      <c r="F60" s="208" t="inlineStr">
        <is>
          <t>Ⅲ</t>
        </is>
      </c>
      <c r="G60" s="312" t="inlineStr">
        <is>
          <t>m3</t>
        </is>
      </c>
      <c r="H60" s="318" t="n"/>
      <c r="I60" s="312" t="n">
        <v>18.02167</v>
      </c>
      <c r="J60" s="312" t="n"/>
      <c r="K60" s="312" t="n"/>
      <c r="L60" s="312" t="n"/>
      <c r="M60" s="313" t="n"/>
      <c r="N60" s="314">
        <f>H60*I60*M60</f>
        <v/>
      </c>
      <c r="O60" s="208" t="inlineStr">
        <is>
          <t>甲级</t>
        </is>
      </c>
      <c r="P60" s="315" t="n"/>
      <c r="Q60" s="314">
        <f>N60*P60</f>
        <v/>
      </c>
      <c r="R60" s="314">
        <f>N60+Q60</f>
        <v/>
      </c>
      <c r="S60" s="312" t="inlineStr">
        <is>
          <t>表3.3-2、表3.3-5</t>
        </is>
      </c>
      <c r="T60" s="312" t="n"/>
      <c r="U60" s="104" t="n"/>
      <c r="W60" s="154" t="n"/>
      <c r="X60" s="323">
        <f>VLOOKUP(F60,{"Ⅰ","40";"Ⅱ","52";"Ⅲ","72";"Ⅳ","92";"Ⅴ","120";"Ⅵ","148"},2,0)</f>
        <v/>
      </c>
      <c r="Y60" s="111" t="n"/>
      <c r="Z60" s="118" t="n">
        <v>1</v>
      </c>
      <c r="AA60" s="111" t="n"/>
      <c r="AB60" s="320">
        <f>VLOOKUP(O60,{"甲级","1.2";"乙级","1.0";"丙级","0.8"},2,0)</f>
        <v/>
      </c>
      <c r="AC60" s="111" t="n"/>
      <c r="AD60" s="317">
        <f>H60+AG60-X60</f>
        <v/>
      </c>
      <c r="AE60" s="317">
        <f>M60+AH60-Z60</f>
        <v/>
      </c>
      <c r="AF60" s="317">
        <f>P60+AI60-AB60</f>
        <v/>
      </c>
      <c r="AG60" s="131" t="n"/>
      <c r="AH60" s="131" t="n"/>
      <c r="AI60" s="131" t="n"/>
      <c r="AJ60" s="131" t="n"/>
      <c r="AK60" s="131" t="n"/>
      <c r="AL60" s="131" t="n"/>
      <c r="AM60" s="131" t="n"/>
      <c r="AN60" s="131" t="n"/>
      <c r="AO60" s="131" t="n"/>
    </row>
    <row r="61" ht="14.4" customFormat="1" customHeight="1" s="47">
      <c r="A61" s="208" t="n">
        <v>57</v>
      </c>
      <c r="B61" s="321" t="n"/>
      <c r="C61" s="326" t="n"/>
      <c r="D61" s="327" t="n"/>
      <c r="E61" s="216" t="inlineStr">
        <is>
          <t xml:space="preserve">  D＞2</t>
        </is>
      </c>
      <c r="F61" s="208" t="inlineStr">
        <is>
          <t>Ⅰ</t>
        </is>
      </c>
      <c r="G61" s="312" t="inlineStr">
        <is>
          <t>m3</t>
        </is>
      </c>
      <c r="H61" s="318" t="n"/>
      <c r="I61" s="312" t="n"/>
      <c r="J61" s="312" t="n"/>
      <c r="K61" s="312" t="n"/>
      <c r="L61" s="312" t="n"/>
      <c r="M61" s="313" t="n"/>
      <c r="N61" s="314">
        <f>H61*I61*M61</f>
        <v/>
      </c>
      <c r="O61" s="208" t="inlineStr">
        <is>
          <t>甲级</t>
        </is>
      </c>
      <c r="P61" s="315" t="n"/>
      <c r="Q61" s="314">
        <f>N61*P61</f>
        <v/>
      </c>
      <c r="R61" s="314">
        <f>N61+Q61</f>
        <v/>
      </c>
      <c r="S61" s="312" t="inlineStr">
        <is>
          <t>表3.3-2、表3.3-5</t>
        </is>
      </c>
      <c r="T61" s="312" t="n"/>
      <c r="U61" s="104" t="n"/>
      <c r="W61" s="154" t="n"/>
      <c r="X61" s="323">
        <f>VLOOKUP(F61,{"Ⅰ","58";"Ⅱ","75";"Ⅲ","104";"Ⅳ","133";"Ⅴ","174";"Ⅵ","215"},2,0)</f>
        <v/>
      </c>
      <c r="Y61" s="111" t="n"/>
      <c r="Z61" s="118" t="n">
        <v>1.3</v>
      </c>
      <c r="AA61" s="111" t="n"/>
      <c r="AB61" s="320">
        <f>VLOOKUP(O61,{"甲级","1.2";"乙级","1.0";"丙级","0.8"},2,0)</f>
        <v/>
      </c>
      <c r="AC61" s="111" t="n"/>
      <c r="AD61" s="317">
        <f>H61+AG61-X61</f>
        <v/>
      </c>
      <c r="AE61" s="317">
        <f>M61+AH61-Z61</f>
        <v/>
      </c>
      <c r="AF61" s="317">
        <f>P61+AI61-AB61</f>
        <v/>
      </c>
      <c r="AG61" s="131" t="n"/>
      <c r="AH61" s="131" t="n"/>
      <c r="AI61" s="131" t="n"/>
      <c r="AJ61" s="131" t="n"/>
      <c r="AK61" s="131" t="n"/>
      <c r="AL61" s="131" t="n"/>
      <c r="AM61" s="131" t="n"/>
      <c r="AN61" s="131" t="n"/>
      <c r="AO61" s="131" t="n"/>
    </row>
    <row r="62" ht="14.4" customFormat="1" customHeight="1" s="47">
      <c r="A62" s="208" t="n">
        <v>58</v>
      </c>
      <c r="B62" s="321" t="n"/>
      <c r="C62" s="208" t="inlineStr">
        <is>
          <t>取样</t>
        </is>
      </c>
      <c r="D62" s="324" t="n"/>
      <c r="E62" s="208" t="inlineStr">
        <is>
          <t>钻孔取土样</t>
        </is>
      </c>
      <c r="F62" s="208" t="inlineStr">
        <is>
          <t>≤30m</t>
        </is>
      </c>
      <c r="G62" s="312" t="inlineStr">
        <is>
          <t>件</t>
        </is>
      </c>
      <c r="H62" s="318" t="n"/>
      <c r="I62" s="312" t="n">
        <v>48</v>
      </c>
      <c r="J62" s="312" t="n"/>
      <c r="K62" s="312" t="n"/>
      <c r="L62" s="312" t="n"/>
      <c r="M62" s="313" t="n"/>
      <c r="N62" s="314">
        <f>H62*I62*M62</f>
        <v/>
      </c>
      <c r="O62" s="208" t="inlineStr">
        <is>
          <t>甲级</t>
        </is>
      </c>
      <c r="P62" s="315" t="n"/>
      <c r="Q62" s="314">
        <f>N62*P62</f>
        <v/>
      </c>
      <c r="R62" s="314">
        <f>N62+Q62</f>
        <v/>
      </c>
      <c r="S62" s="312" t="inlineStr">
        <is>
          <t>表3.3-3、表3.3-5</t>
        </is>
      </c>
      <c r="T62" s="312" t="n"/>
      <c r="U62" s="104" t="n"/>
      <c r="W62" s="154" t="n"/>
      <c r="X62" s="323">
        <f>IF(F62="≤30m",65,95)</f>
        <v/>
      </c>
      <c r="Y62" s="111" t="n"/>
      <c r="Z62" s="118" t="n">
        <v>1</v>
      </c>
      <c r="AA62" s="111" t="n"/>
      <c r="AB62" s="320">
        <f>VLOOKUP(O62,{"甲级","1.2";"乙级","1.0";"丙级","0.8"},2,0)</f>
        <v/>
      </c>
      <c r="AC62" s="111" t="n"/>
      <c r="AD62" s="317">
        <f>H62+AG62-X62</f>
        <v/>
      </c>
      <c r="AE62" s="317">
        <f>M62+AH62-Z62</f>
        <v/>
      </c>
      <c r="AF62" s="317">
        <f>P62+AI62-AB62</f>
        <v/>
      </c>
      <c r="AG62" s="131" t="n"/>
      <c r="AH62" s="131" t="n"/>
      <c r="AI62" s="131" t="n"/>
      <c r="AJ62" s="131" t="n"/>
      <c r="AK62" s="131" t="n"/>
      <c r="AL62" s="131" t="n"/>
      <c r="AM62" s="131" t="n"/>
      <c r="AN62" s="131" t="n"/>
      <c r="AO62" s="131" t="n"/>
    </row>
    <row r="63" ht="14.4" customFormat="1" customHeight="1" s="47">
      <c r="A63" s="208" t="n">
        <v>59</v>
      </c>
      <c r="B63" s="321" t="n"/>
      <c r="C63" s="325" t="n"/>
      <c r="D63" s="302" t="n"/>
      <c r="E63" s="208" t="inlineStr">
        <is>
          <t>探井取土样</t>
        </is>
      </c>
      <c r="F63" s="208" t="inlineStr">
        <is>
          <t>≤30m</t>
        </is>
      </c>
      <c r="G63" s="312" t="inlineStr">
        <is>
          <t>件</t>
        </is>
      </c>
      <c r="H63" s="318" t="n"/>
      <c r="I63" s="312" t="n">
        <v>18</v>
      </c>
      <c r="J63" s="312" t="n"/>
      <c r="K63" s="312" t="n"/>
      <c r="L63" s="312" t="n"/>
      <c r="M63" s="313" t="n"/>
      <c r="N63" s="314">
        <f>H63*I63*M63</f>
        <v/>
      </c>
      <c r="O63" s="208" t="inlineStr">
        <is>
          <t>甲级</t>
        </is>
      </c>
      <c r="P63" s="315" t="n"/>
      <c r="Q63" s="314">
        <f>N63*P63</f>
        <v/>
      </c>
      <c r="R63" s="314">
        <f>N63+Q63</f>
        <v/>
      </c>
      <c r="S63" s="312" t="inlineStr">
        <is>
          <t>表3.3-3、表3.3-5</t>
        </is>
      </c>
      <c r="T63" s="312" t="n"/>
      <c r="U63" s="104" t="n"/>
      <c r="W63" s="154" t="n"/>
      <c r="X63" s="323">
        <f>IF(F63="≤30m",100,150)</f>
        <v/>
      </c>
      <c r="Y63" s="111" t="n"/>
      <c r="Z63" s="118" t="n">
        <v>1</v>
      </c>
      <c r="AA63" s="111" t="n"/>
      <c r="AB63" s="320">
        <f>VLOOKUP(O63,{"甲级","1.2";"乙级","1.0";"丙级","0.8"},2,0)</f>
        <v/>
      </c>
      <c r="AC63" s="111" t="n"/>
      <c r="AD63" s="317">
        <f>H63+AG63-X63</f>
        <v/>
      </c>
      <c r="AE63" s="317">
        <f>M63+AH63-Z63</f>
        <v/>
      </c>
      <c r="AF63" s="317">
        <f>P63+AI63-AB63</f>
        <v/>
      </c>
      <c r="AG63" s="131" t="n"/>
      <c r="AH63" s="131" t="n"/>
      <c r="AI63" s="131" t="n"/>
      <c r="AJ63" s="131" t="n"/>
      <c r="AK63" s="131" t="n"/>
      <c r="AL63" s="131" t="n"/>
      <c r="AM63" s="131" t="n"/>
      <c r="AN63" s="131" t="n"/>
      <c r="AO63" s="131" t="n"/>
    </row>
    <row r="64" ht="14.4" customFormat="1" customHeight="1" s="47">
      <c r="A64" s="208" t="n">
        <v>60</v>
      </c>
      <c r="B64" s="321" t="n"/>
      <c r="C64" s="325" t="n"/>
      <c r="D64" s="302" t="n"/>
      <c r="E64" s="208" t="inlineStr">
        <is>
          <t>取扰动样</t>
        </is>
      </c>
      <c r="F64" s="208" t="n"/>
      <c r="G64" s="312" t="inlineStr">
        <is>
          <t>件</t>
        </is>
      </c>
      <c r="H64" s="318" t="n"/>
      <c r="I64" s="312" t="n">
        <v>40</v>
      </c>
      <c r="J64" s="312" t="n"/>
      <c r="K64" s="312" t="n"/>
      <c r="L64" s="312" t="n"/>
      <c r="M64" s="313" t="n"/>
      <c r="N64" s="314">
        <f>H64*I64*M64</f>
        <v/>
      </c>
      <c r="O64" s="208" t="inlineStr">
        <is>
          <t>甲级</t>
        </is>
      </c>
      <c r="P64" s="315" t="n"/>
      <c r="Q64" s="314">
        <f>N64*P64</f>
        <v/>
      </c>
      <c r="R64" s="314">
        <f>N64+Q64</f>
        <v/>
      </c>
      <c r="S64" s="312" t="inlineStr">
        <is>
          <t>表3.3-3、表3.3-5</t>
        </is>
      </c>
      <c r="T64" s="312" t="n"/>
      <c r="U64" s="104" t="n"/>
      <c r="W64" s="154" t="n"/>
      <c r="X64" s="323" t="n">
        <v>15</v>
      </c>
      <c r="Y64" s="111" t="n"/>
      <c r="Z64" s="118" t="n">
        <v>1</v>
      </c>
      <c r="AA64" s="111" t="n"/>
      <c r="AB64" s="320">
        <f>VLOOKUP(O64,{"甲级","1.2";"乙级","1.0";"丙级","0.8"},2,0)</f>
        <v/>
      </c>
      <c r="AC64" s="111" t="n"/>
      <c r="AD64" s="317">
        <f>H64+AG64-X64</f>
        <v/>
      </c>
      <c r="AE64" s="317">
        <f>M64+AH64-Z64</f>
        <v/>
      </c>
      <c r="AF64" s="317">
        <f>P64+AI64-AB64</f>
        <v/>
      </c>
      <c r="AG64" s="131" t="n"/>
      <c r="AH64" s="131" t="n"/>
      <c r="AI64" s="131" t="n"/>
      <c r="AJ64" s="131" t="n"/>
      <c r="AK64" s="131" t="n"/>
      <c r="AL64" s="131" t="n"/>
      <c r="AM64" s="131" t="n"/>
      <c r="AN64" s="131" t="n"/>
      <c r="AO64" s="131" t="n"/>
    </row>
    <row r="65" ht="14.4" customFormat="1" customHeight="1" s="47">
      <c r="A65" s="208" t="n">
        <v>61</v>
      </c>
      <c r="B65" s="321" t="n"/>
      <c r="C65" s="325" t="n"/>
      <c r="D65" s="302" t="n"/>
      <c r="E65" s="208" t="inlineStr">
        <is>
          <t>岩芯取石样</t>
        </is>
      </c>
      <c r="F65" s="208" t="n"/>
      <c r="G65" s="312" t="inlineStr">
        <is>
          <t>件</t>
        </is>
      </c>
      <c r="H65" s="318" t="n"/>
      <c r="I65" s="312" t="n">
        <v>202</v>
      </c>
      <c r="J65" s="312" t="n"/>
      <c r="K65" s="312" t="n"/>
      <c r="L65" s="312" t="n"/>
      <c r="M65" s="313" t="n"/>
      <c r="N65" s="314">
        <f>H65*I65*M65</f>
        <v/>
      </c>
      <c r="O65" s="208" t="inlineStr">
        <is>
          <t>甲级</t>
        </is>
      </c>
      <c r="P65" s="315" t="n"/>
      <c r="Q65" s="314">
        <f>N65*P65</f>
        <v/>
      </c>
      <c r="R65" s="314">
        <f>N65+Q65</f>
        <v/>
      </c>
      <c r="S65" s="312" t="inlineStr">
        <is>
          <t>表3.3-3、表3.3-5</t>
        </is>
      </c>
      <c r="T65" s="312" t="n"/>
      <c r="U65" s="104" t="n"/>
      <c r="W65" s="154" t="n"/>
      <c r="X65" s="323" t="n">
        <v>25</v>
      </c>
      <c r="Y65" s="111" t="n"/>
      <c r="Z65" s="118" t="n">
        <v>1</v>
      </c>
      <c r="AA65" s="111" t="n"/>
      <c r="AB65" s="320">
        <f>VLOOKUP(O65,{"甲级","1.2";"乙级","1.0";"丙级","0.8"},2,0)</f>
        <v/>
      </c>
      <c r="AC65" s="111" t="n"/>
      <c r="AD65" s="317">
        <f>H65+AG65-X65</f>
        <v/>
      </c>
      <c r="AE65" s="317">
        <f>M65+AH65-Z65</f>
        <v/>
      </c>
      <c r="AF65" s="317">
        <f>P65+AI65-AB65</f>
        <v/>
      </c>
      <c r="AG65" s="131" t="n"/>
      <c r="AH65" s="131" t="n"/>
      <c r="AI65" s="131" t="n"/>
      <c r="AJ65" s="131" t="n"/>
      <c r="AK65" s="131" t="n"/>
      <c r="AL65" s="131" t="n"/>
      <c r="AM65" s="131" t="n"/>
      <c r="AN65" s="131" t="n"/>
      <c r="AO65" s="131" t="n"/>
    </row>
    <row r="66" ht="14.4" customFormat="1" customHeight="1" s="47">
      <c r="A66" s="208" t="n">
        <v>62</v>
      </c>
      <c r="B66" s="321" t="n"/>
      <c r="C66" s="326" t="n"/>
      <c r="D66" s="327" t="n"/>
      <c r="E66" s="208" t="inlineStr">
        <is>
          <t>水样</t>
        </is>
      </c>
      <c r="F66" s="208" t="n"/>
      <c r="G66" s="312" t="inlineStr">
        <is>
          <t>件</t>
        </is>
      </c>
      <c r="H66" s="318" t="n"/>
      <c r="I66" s="312" t="n">
        <v>7</v>
      </c>
      <c r="J66" s="312" t="n"/>
      <c r="K66" s="312" t="n"/>
      <c r="L66" s="312" t="n"/>
      <c r="M66" s="313" t="n"/>
      <c r="N66" s="314">
        <f>H66*I66*M66</f>
        <v/>
      </c>
      <c r="O66" s="208" t="inlineStr">
        <is>
          <t>甲级</t>
        </is>
      </c>
      <c r="P66" s="315" t="n"/>
      <c r="Q66" s="314">
        <f>N66*P66</f>
        <v/>
      </c>
      <c r="R66" s="314">
        <f>N66+Q66</f>
        <v/>
      </c>
      <c r="S66" s="312" t="inlineStr">
        <is>
          <t>表3.3-3、表3.3-5</t>
        </is>
      </c>
      <c r="T66" s="312" t="n"/>
      <c r="U66" s="104" t="n"/>
      <c r="W66" s="154" t="n"/>
      <c r="X66" s="323" t="n">
        <v>40</v>
      </c>
      <c r="Y66" s="111" t="n"/>
      <c r="Z66" s="118" t="n">
        <v>1</v>
      </c>
      <c r="AA66" s="111" t="n"/>
      <c r="AB66" s="320">
        <f>VLOOKUP(O66,{"甲级","1.2";"乙级","1.0";"丙级","0.8"},2,0)</f>
        <v/>
      </c>
      <c r="AC66" s="111" t="n"/>
      <c r="AD66" s="317">
        <f>H66+AG66-X66</f>
        <v/>
      </c>
      <c r="AE66" s="317">
        <f>M66+AH66-Z66</f>
        <v/>
      </c>
      <c r="AF66" s="317">
        <f>P66+AI66-AB66</f>
        <v/>
      </c>
      <c r="AG66" s="131" t="n"/>
      <c r="AH66" s="131" t="n"/>
      <c r="AI66" s="131" t="n"/>
      <c r="AJ66" s="131" t="n"/>
      <c r="AK66" s="131" t="n"/>
      <c r="AL66" s="131" t="n"/>
      <c r="AM66" s="131" t="n"/>
      <c r="AN66" s="131" t="n"/>
      <c r="AO66" s="131" t="n"/>
    </row>
    <row r="67" ht="14.4" customFormat="1" customHeight="1" s="47">
      <c r="A67" s="208" t="n">
        <v>63</v>
      </c>
      <c r="B67" s="321" t="n"/>
      <c r="C67" s="208" t="inlineStr">
        <is>
          <t>标准贯入试验</t>
        </is>
      </c>
      <c r="D67" s="324" t="n"/>
      <c r="E67" s="216" t="inlineStr">
        <is>
          <t>D≤20</t>
        </is>
      </c>
      <c r="F67" s="208" t="inlineStr">
        <is>
          <t>Ⅲ</t>
        </is>
      </c>
      <c r="G67" s="312" t="inlineStr">
        <is>
          <t>次</t>
        </is>
      </c>
      <c r="H67" s="318" t="n"/>
      <c r="I67" s="312" t="n">
        <v>48</v>
      </c>
      <c r="J67" s="312" t="n"/>
      <c r="K67" s="312" t="n"/>
      <c r="L67" s="312" t="n"/>
      <c r="M67" s="313" t="n"/>
      <c r="N67" s="314">
        <f>H67*I67*M67</f>
        <v/>
      </c>
      <c r="O67" s="208" t="inlineStr">
        <is>
          <t>甲级</t>
        </is>
      </c>
      <c r="P67" s="315" t="n"/>
      <c r="Q67" s="314">
        <f>N67*P67</f>
        <v/>
      </c>
      <c r="R67" s="314">
        <f>N67+Q67</f>
        <v/>
      </c>
      <c r="S67" s="312" t="inlineStr">
        <is>
          <t>表3.3-4、表3.3-5</t>
        </is>
      </c>
      <c r="T67" s="312" t="n"/>
      <c r="U67" s="104" t="n"/>
      <c r="W67" s="154" t="n"/>
      <c r="X67" s="323">
        <f>VLOOKUP(F67,{"Ⅰ","80";"Ⅱ","108";"Ⅲ","144"},2,0)</f>
        <v/>
      </c>
      <c r="Y67" s="111" t="n"/>
      <c r="Z67" s="118" t="n">
        <v>1</v>
      </c>
      <c r="AA67" s="111" t="n"/>
      <c r="AB67" s="320">
        <f>VLOOKUP(O67,{"甲级","1.2";"乙级","1.0";"丙级","0.8"},2,0)</f>
        <v/>
      </c>
      <c r="AC67" s="111" t="n"/>
      <c r="AD67" s="317">
        <f>H67+AG67-X67</f>
        <v/>
      </c>
      <c r="AE67" s="317">
        <f>M67+AH67-Z67</f>
        <v/>
      </c>
      <c r="AF67" s="317">
        <f>P67+AI67-AB67</f>
        <v/>
      </c>
      <c r="AG67" s="131" t="n"/>
      <c r="AH67" s="131" t="n"/>
      <c r="AI67" s="131" t="n"/>
      <c r="AJ67" s="131" t="n"/>
      <c r="AK67" s="131" t="n"/>
      <c r="AL67" s="131" t="n"/>
      <c r="AM67" s="131" t="n"/>
      <c r="AN67" s="131" t="n"/>
      <c r="AO67" s="131" t="n"/>
    </row>
    <row r="68" ht="14.4" customFormat="1" customHeight="1" s="47">
      <c r="A68" s="208" t="n">
        <v>64</v>
      </c>
      <c r="B68" s="321" t="n"/>
      <c r="C68" s="325" t="n"/>
      <c r="D68" s="302" t="n"/>
      <c r="E68" s="216" t="inlineStr">
        <is>
          <t>20＜D≤50</t>
        </is>
      </c>
      <c r="F68" s="208" t="inlineStr">
        <is>
          <t>Ⅲ</t>
        </is>
      </c>
      <c r="G68" s="312" t="inlineStr">
        <is>
          <t>次</t>
        </is>
      </c>
      <c r="H68" s="318" t="n"/>
      <c r="I68" s="312" t="n">
        <v>24</v>
      </c>
      <c r="J68" s="312" t="n"/>
      <c r="K68" s="312" t="n"/>
      <c r="L68" s="312" t="n"/>
      <c r="M68" s="313" t="n"/>
      <c r="N68" s="314">
        <f>H68*I68*M68</f>
        <v/>
      </c>
      <c r="O68" s="208" t="inlineStr">
        <is>
          <t>甲级</t>
        </is>
      </c>
      <c r="P68" s="315" t="n"/>
      <c r="Q68" s="314">
        <f>N68*P68</f>
        <v/>
      </c>
      <c r="R68" s="314">
        <f>N68+Q68</f>
        <v/>
      </c>
      <c r="S68" s="312" t="inlineStr">
        <is>
          <t>表3.3-4、表3.3-5</t>
        </is>
      </c>
      <c r="T68" s="312" t="n"/>
      <c r="U68" s="104" t="n"/>
      <c r="W68" s="154" t="n"/>
      <c r="X68" s="323">
        <f>VLOOKUP(F68,{"Ⅰ","120";"Ⅱ","162";"Ⅲ","216"},2,0)</f>
        <v/>
      </c>
      <c r="Y68" s="111" t="n"/>
      <c r="Z68" s="118" t="n">
        <v>1</v>
      </c>
      <c r="AA68" s="111" t="n"/>
      <c r="AB68" s="320">
        <f>VLOOKUP(O68,{"甲级","1.2";"乙级","1.0";"丙级","0.8"},2,0)</f>
        <v/>
      </c>
      <c r="AC68" s="111" t="n"/>
      <c r="AD68" s="317">
        <f>H68+AG68-X68</f>
        <v/>
      </c>
      <c r="AE68" s="317">
        <f>M68+AH68-Z68</f>
        <v/>
      </c>
      <c r="AF68" s="317">
        <f>P68+AI68-AB68</f>
        <v/>
      </c>
      <c r="AG68" s="131" t="n"/>
      <c r="AH68" s="131" t="n"/>
      <c r="AI68" s="131" t="n"/>
      <c r="AJ68" s="131" t="n"/>
      <c r="AK68" s="131" t="n"/>
      <c r="AL68" s="131" t="n"/>
      <c r="AM68" s="131" t="n"/>
      <c r="AN68" s="131" t="n"/>
      <c r="AO68" s="131" t="n"/>
    </row>
    <row r="69" ht="14.4" customFormat="1" customHeight="1" s="47">
      <c r="A69" s="208" t="n">
        <v>65</v>
      </c>
      <c r="B69" s="321" t="n"/>
      <c r="C69" s="326" t="n"/>
      <c r="D69" s="327" t="n"/>
      <c r="E69" s="216" t="inlineStr">
        <is>
          <t>D＞50</t>
        </is>
      </c>
      <c r="F69" s="208" t="inlineStr">
        <is>
          <t>Ⅰ</t>
        </is>
      </c>
      <c r="G69" s="312" t="inlineStr">
        <is>
          <t>次</t>
        </is>
      </c>
      <c r="H69" s="318" t="n"/>
      <c r="I69" s="312" t="n"/>
      <c r="J69" s="312" t="n"/>
      <c r="K69" s="312" t="n"/>
      <c r="L69" s="312" t="n"/>
      <c r="M69" s="313" t="n"/>
      <c r="N69" s="314">
        <f>H69*I69*M69</f>
        <v/>
      </c>
      <c r="O69" s="208" t="inlineStr">
        <is>
          <t>甲级</t>
        </is>
      </c>
      <c r="P69" s="315" t="n"/>
      <c r="Q69" s="314">
        <f>N69*P69</f>
        <v/>
      </c>
      <c r="R69" s="314">
        <f>N69+Q69</f>
        <v/>
      </c>
      <c r="S69" s="312" t="inlineStr">
        <is>
          <t>表3.3-4、表3.3-5</t>
        </is>
      </c>
      <c r="T69" s="312" t="n"/>
      <c r="U69" s="104" t="n"/>
      <c r="W69" s="154" t="n"/>
      <c r="X69" s="323">
        <f>VLOOKUP(F69,{"Ⅰ","144";"Ⅱ","194";"Ⅲ","259"},2,0)</f>
        <v/>
      </c>
      <c r="Y69" s="111" t="n"/>
      <c r="Z69" s="118" t="n">
        <v>1.3</v>
      </c>
      <c r="AA69" s="111" t="n"/>
      <c r="AB69" s="320">
        <f>VLOOKUP(O69,{"甲级","1.2";"乙级","1.0";"丙级","0.8"},2,0)</f>
        <v/>
      </c>
      <c r="AC69" s="111" t="n"/>
      <c r="AD69" s="317">
        <f>H69+AG69-X69</f>
        <v/>
      </c>
      <c r="AE69" s="317">
        <f>M69+AH69-Z69</f>
        <v/>
      </c>
      <c r="AF69" s="317">
        <f>P69+AI69-AB69</f>
        <v/>
      </c>
      <c r="AG69" s="131" t="n"/>
      <c r="AH69" s="131" t="n"/>
      <c r="AI69" s="131" t="n"/>
      <c r="AJ69" s="131" t="n"/>
      <c r="AK69" s="131" t="n"/>
      <c r="AL69" s="131" t="n"/>
      <c r="AM69" s="131" t="n"/>
      <c r="AN69" s="131" t="n"/>
      <c r="AO69" s="131" t="n"/>
    </row>
    <row r="70" ht="14.4" customFormat="1" customHeight="1" s="47">
      <c r="A70" s="208" t="n">
        <v>66</v>
      </c>
      <c r="B70" s="321" t="n"/>
      <c r="C70" s="209" t="inlineStr">
        <is>
          <t>动力触探</t>
        </is>
      </c>
      <c r="D70" s="210" t="inlineStr">
        <is>
          <t>重型</t>
        </is>
      </c>
      <c r="E70" s="216" t="inlineStr">
        <is>
          <t>D≤10</t>
        </is>
      </c>
      <c r="F70" s="208" t="inlineStr">
        <is>
          <t>Ⅲ</t>
        </is>
      </c>
      <c r="G70" s="312" t="inlineStr">
        <is>
          <t>m</t>
        </is>
      </c>
      <c r="H70" s="318" t="n"/>
      <c r="I70" s="312" t="n">
        <v>13</v>
      </c>
      <c r="J70" s="312" t="n"/>
      <c r="K70" s="312" t="n"/>
      <c r="L70" s="312" t="n"/>
      <c r="M70" s="313" t="n"/>
      <c r="N70" s="314">
        <f>H70*I70*M70</f>
        <v/>
      </c>
      <c r="O70" s="208" t="inlineStr">
        <is>
          <t>甲级</t>
        </is>
      </c>
      <c r="P70" s="315" t="n"/>
      <c r="Q70" s="314">
        <f>N70*P70</f>
        <v/>
      </c>
      <c r="R70" s="314">
        <f>N70+Q70</f>
        <v/>
      </c>
      <c r="S70" s="312" t="inlineStr">
        <is>
          <t>表3.3-4、表3.3-5</t>
        </is>
      </c>
      <c r="T70" s="312" t="n"/>
      <c r="U70" s="104" t="n"/>
      <c r="W70" s="154" t="n"/>
      <c r="X70" s="323">
        <f>VLOOKUP(F70,{"Ⅰ","50";"Ⅱ","78";"Ⅲ","128";"Ⅳ","300";"Ⅴ","375";"Ⅵ","425"},2,0)</f>
        <v/>
      </c>
      <c r="Y70" s="111" t="n"/>
      <c r="Z70" s="118" t="n">
        <v>1</v>
      </c>
      <c r="AA70" s="111" t="n"/>
      <c r="AB70" s="320">
        <f>VLOOKUP(O70,{"甲级","1.2";"乙级","1.0";"丙级","0.8"},2,0)</f>
        <v/>
      </c>
      <c r="AC70" s="111" t="n"/>
      <c r="AD70" s="317">
        <f>H70+AG70-X70</f>
        <v/>
      </c>
      <c r="AE70" s="317">
        <f>M70+AH70-Z70</f>
        <v/>
      </c>
      <c r="AF70" s="317">
        <f>P70+AI70-AB70</f>
        <v/>
      </c>
      <c r="AG70" s="131" t="n"/>
      <c r="AH70" s="131" t="n"/>
      <c r="AI70" s="131" t="n"/>
      <c r="AJ70" s="131" t="n"/>
      <c r="AK70" s="131" t="n"/>
      <c r="AL70" s="131" t="n"/>
      <c r="AM70" s="131" t="n"/>
      <c r="AN70" s="131" t="n"/>
      <c r="AO70" s="131" t="n"/>
    </row>
    <row r="71" ht="14.4" customFormat="1" customHeight="1" s="47">
      <c r="A71" s="208" t="n">
        <v>68</v>
      </c>
      <c r="B71" s="321" t="n"/>
      <c r="C71" s="321" t="n"/>
      <c r="D71" s="321" t="n"/>
      <c r="E71" s="216" t="inlineStr">
        <is>
          <t>D≤10</t>
        </is>
      </c>
      <c r="F71" s="208" t="inlineStr">
        <is>
          <t>Ⅳ</t>
        </is>
      </c>
      <c r="G71" s="312" t="inlineStr">
        <is>
          <t>m</t>
        </is>
      </c>
      <c r="H71" s="318" t="n"/>
      <c r="I71" s="312" t="n"/>
      <c r="J71" s="312" t="n"/>
      <c r="K71" s="312" t="n"/>
      <c r="L71" s="312" t="n"/>
      <c r="M71" s="313" t="n"/>
      <c r="N71" s="314">
        <f>H71*I71*M71</f>
        <v/>
      </c>
      <c r="O71" s="208" t="inlineStr">
        <is>
          <t>甲级</t>
        </is>
      </c>
      <c r="P71" s="315" t="n"/>
      <c r="Q71" s="314">
        <f>N71*P71</f>
        <v/>
      </c>
      <c r="R71" s="314">
        <f>N71+Q71</f>
        <v/>
      </c>
      <c r="S71" s="312" t="inlineStr">
        <is>
          <t>表3.3-4、表3.3-5</t>
        </is>
      </c>
      <c r="T71" s="312" t="n"/>
      <c r="U71" s="104" t="n"/>
      <c r="W71" s="154" t="n"/>
      <c r="X71" s="323">
        <f>VLOOKUP(F71,{"Ⅰ","50";"Ⅱ","78";"Ⅲ","128";"Ⅳ","300";"Ⅴ","375";"Ⅵ","425"},2,0)</f>
        <v/>
      </c>
      <c r="Y71" s="111" t="n"/>
      <c r="Z71" s="118" t="n">
        <v>1.3</v>
      </c>
      <c r="AA71" s="111" t="n"/>
      <c r="AB71" s="320">
        <f>VLOOKUP(O71,{"甲级","1.2";"乙级","1.0";"丙级","0.8"},2,0)</f>
        <v/>
      </c>
      <c r="AC71" s="111" t="n"/>
      <c r="AD71" s="317">
        <f>H71+AG71-X71</f>
        <v/>
      </c>
      <c r="AE71" s="317">
        <f>M71+AH71-Z71</f>
        <v/>
      </c>
      <c r="AF71" s="317">
        <f>P71+AI71-AB71</f>
        <v/>
      </c>
      <c r="AG71" s="131" t="n"/>
      <c r="AH71" s="131" t="n"/>
      <c r="AI71" s="131" t="n"/>
      <c r="AJ71" s="131" t="n"/>
      <c r="AK71" s="131" t="n"/>
      <c r="AL71" s="131" t="n"/>
      <c r="AM71" s="131" t="n"/>
      <c r="AN71" s="131" t="n"/>
      <c r="AO71" s="131" t="n"/>
    </row>
    <row r="72" ht="14.4" customFormat="1" customHeight="1" s="47">
      <c r="A72" s="208" t="n">
        <v>69</v>
      </c>
      <c r="B72" s="321" t="n"/>
      <c r="C72" s="321" t="n"/>
      <c r="D72" s="321" t="n"/>
      <c r="E72" s="216" t="inlineStr">
        <is>
          <t>10＜D≤20</t>
        </is>
      </c>
      <c r="F72" s="208" t="inlineStr">
        <is>
          <t>Ⅳ</t>
        </is>
      </c>
      <c r="G72" s="312" t="inlineStr">
        <is>
          <t>m</t>
        </is>
      </c>
      <c r="H72" s="318" t="n"/>
      <c r="I72" s="312" t="n"/>
      <c r="J72" s="312" t="n"/>
      <c r="K72" s="312" t="n"/>
      <c r="L72" s="312" t="n"/>
      <c r="M72" s="313" t="n"/>
      <c r="N72" s="314">
        <f>H72*I72*M72</f>
        <v/>
      </c>
      <c r="O72" s="208" t="inlineStr">
        <is>
          <t>甲级</t>
        </is>
      </c>
      <c r="P72" s="315" t="n"/>
      <c r="Q72" s="314">
        <f>N72*P72</f>
        <v/>
      </c>
      <c r="R72" s="314">
        <f>N72+Q72</f>
        <v/>
      </c>
      <c r="S72" s="312" t="inlineStr">
        <is>
          <t>表3.3-4、表3.3-5</t>
        </is>
      </c>
      <c r="T72" s="312" t="n"/>
      <c r="U72" s="104" t="n"/>
      <c r="W72" s="154" t="n"/>
      <c r="X72" s="323">
        <f>VLOOKUP(F72,{"Ⅰ","63";"Ⅱ","97";"Ⅲ","159";"Ⅳ","375";"Ⅴ","469";"Ⅵ","531"},2,0)</f>
        <v/>
      </c>
      <c r="Y72" s="111" t="n"/>
      <c r="Z72" s="118" t="n">
        <v>1.3</v>
      </c>
      <c r="AA72" s="111" t="n"/>
      <c r="AB72" s="320">
        <f>VLOOKUP(O72,{"甲级","1.2";"乙级","1.0";"丙级","0.8"},2,0)</f>
        <v/>
      </c>
      <c r="AC72" s="111" t="n"/>
      <c r="AD72" s="317">
        <f>H72+AG72-X72</f>
        <v/>
      </c>
      <c r="AE72" s="317">
        <f>M72+AH72-Z72</f>
        <v/>
      </c>
      <c r="AF72" s="317">
        <f>P72+AI72-AB72</f>
        <v/>
      </c>
      <c r="AG72" s="131" t="n"/>
      <c r="AH72" s="131" t="n"/>
      <c r="AI72" s="131" t="n"/>
      <c r="AJ72" s="131" t="n"/>
      <c r="AK72" s="131" t="n"/>
      <c r="AL72" s="131" t="n"/>
      <c r="AM72" s="131" t="n"/>
      <c r="AN72" s="131" t="n"/>
      <c r="AO72" s="131" t="n"/>
    </row>
    <row r="73" ht="14.4" customFormat="1" customHeight="1" s="47">
      <c r="A73" s="208" t="n">
        <v>70</v>
      </c>
      <c r="B73" s="321" t="n"/>
      <c r="C73" s="321" t="n"/>
      <c r="D73" s="321" t="n"/>
      <c r="E73" s="216" t="inlineStr">
        <is>
          <t>10＜D≤20</t>
        </is>
      </c>
      <c r="F73" s="208" t="inlineStr">
        <is>
          <t>Ⅳ</t>
        </is>
      </c>
      <c r="G73" s="312" t="inlineStr">
        <is>
          <t>m</t>
        </is>
      </c>
      <c r="H73" s="318" t="n"/>
      <c r="I73" s="312" t="n"/>
      <c r="J73" s="312" t="n"/>
      <c r="K73" s="312" t="n"/>
      <c r="L73" s="312" t="n"/>
      <c r="M73" s="313" t="n"/>
      <c r="N73" s="314">
        <f>H73*I73*M73</f>
        <v/>
      </c>
      <c r="O73" s="208" t="inlineStr">
        <is>
          <t>甲级</t>
        </is>
      </c>
      <c r="P73" s="315" t="n"/>
      <c r="Q73" s="314">
        <f>N73*P73</f>
        <v/>
      </c>
      <c r="R73" s="314">
        <f>N73+Q73</f>
        <v/>
      </c>
      <c r="S73" s="312" t="inlineStr">
        <is>
          <t>表3.3-4、表3.3-5</t>
        </is>
      </c>
      <c r="T73" s="312" t="n"/>
      <c r="U73" s="104" t="n"/>
      <c r="W73" s="154" t="n"/>
      <c r="X73" s="323">
        <f>VLOOKUP(F73,{"Ⅰ","63";"Ⅱ","97";"Ⅲ","159";"Ⅳ","375";"Ⅴ","469";"Ⅵ","531"},2,0)</f>
        <v/>
      </c>
      <c r="Y73" s="111" t="n"/>
      <c r="Z73" s="118" t="n">
        <v>1.3</v>
      </c>
      <c r="AA73" s="111" t="n"/>
      <c r="AB73" s="320">
        <f>VLOOKUP(O73,{"甲级","1.2";"乙级","1.0";"丙级","0.8"},2,0)</f>
        <v/>
      </c>
      <c r="AC73" s="111" t="n"/>
      <c r="AD73" s="317">
        <f>H73+AG73-X73</f>
        <v/>
      </c>
      <c r="AE73" s="317">
        <f>M73+AH73-Z73</f>
        <v/>
      </c>
      <c r="AF73" s="317">
        <f>P73+AI73-AB73</f>
        <v/>
      </c>
      <c r="AG73" s="131" t="n"/>
      <c r="AH73" s="131" t="n"/>
      <c r="AI73" s="131" t="n"/>
      <c r="AJ73" s="131" t="n"/>
      <c r="AK73" s="131" t="n"/>
      <c r="AL73" s="131" t="n"/>
      <c r="AM73" s="131" t="n"/>
      <c r="AN73" s="131" t="n"/>
      <c r="AO73" s="131" t="n"/>
    </row>
    <row r="74" ht="14.4" customFormat="1" customHeight="1" s="47">
      <c r="A74" s="208" t="n">
        <v>71</v>
      </c>
      <c r="B74" s="321" t="n"/>
      <c r="C74" s="321" t="n"/>
      <c r="D74" s="321" t="n"/>
      <c r="E74" s="216" t="inlineStr">
        <is>
          <t>20＜D≤30</t>
        </is>
      </c>
      <c r="F74" s="208" t="inlineStr">
        <is>
          <t>Ⅰ</t>
        </is>
      </c>
      <c r="G74" s="312" t="inlineStr">
        <is>
          <t>m</t>
        </is>
      </c>
      <c r="H74" s="318" t="n"/>
      <c r="I74" s="312" t="n"/>
      <c r="J74" s="312" t="n"/>
      <c r="K74" s="312" t="n"/>
      <c r="L74" s="312" t="n"/>
      <c r="M74" s="313" t="n"/>
      <c r="N74" s="314">
        <f>H74*I74*M74</f>
        <v/>
      </c>
      <c r="O74" s="208" t="inlineStr">
        <is>
          <t>甲级</t>
        </is>
      </c>
      <c r="P74" s="315" t="n"/>
      <c r="Q74" s="314">
        <f>N74*P74</f>
        <v/>
      </c>
      <c r="R74" s="314">
        <f>N74+Q74</f>
        <v/>
      </c>
      <c r="S74" s="312" t="inlineStr">
        <is>
          <t>表3.3-4、表3.3-5</t>
        </is>
      </c>
      <c r="T74" s="312" t="n"/>
      <c r="U74" s="104" t="n"/>
      <c r="W74" s="154" t="n"/>
      <c r="X74" s="323">
        <f>VLOOKUP(F74,{"Ⅰ","75";"Ⅱ","116";"Ⅲ","191";"Ⅳ","450";"Ⅴ","563";"Ⅵ","638"},2,0)</f>
        <v/>
      </c>
      <c r="Y74" s="111" t="n"/>
      <c r="Z74" s="118" t="n">
        <v>1.3</v>
      </c>
      <c r="AA74" s="111" t="n"/>
      <c r="AB74" s="320">
        <f>VLOOKUP(O74,{"甲级","1.2";"乙级","1.0";"丙级","0.8"},2,0)</f>
        <v/>
      </c>
      <c r="AC74" s="111" t="n"/>
      <c r="AD74" s="317">
        <f>H74+AG74-X74</f>
        <v/>
      </c>
      <c r="AE74" s="317">
        <f>M74+AH74-Z74</f>
        <v/>
      </c>
      <c r="AF74" s="317">
        <f>P74+AI74-AB74</f>
        <v/>
      </c>
      <c r="AG74" s="131" t="n"/>
      <c r="AH74" s="131" t="n"/>
      <c r="AI74" s="131" t="n"/>
      <c r="AJ74" s="131" t="n"/>
      <c r="AK74" s="131" t="n"/>
      <c r="AL74" s="131" t="n"/>
      <c r="AM74" s="131" t="n"/>
      <c r="AN74" s="131" t="n"/>
      <c r="AO74" s="131" t="n"/>
    </row>
    <row r="75" ht="14.4" customFormat="1" customHeight="1" s="47">
      <c r="A75" s="208" t="n">
        <v>72</v>
      </c>
      <c r="B75" s="321" t="n"/>
      <c r="C75" s="321" t="n"/>
      <c r="D75" s="321" t="n"/>
      <c r="E75" s="216" t="inlineStr">
        <is>
          <t>30＜D≤40</t>
        </is>
      </c>
      <c r="F75" s="208" t="inlineStr">
        <is>
          <t>Ⅰ</t>
        </is>
      </c>
      <c r="G75" s="312" t="inlineStr">
        <is>
          <t>m</t>
        </is>
      </c>
      <c r="H75" s="318" t="n"/>
      <c r="I75" s="312" t="n"/>
      <c r="J75" s="312" t="n"/>
      <c r="K75" s="312" t="n"/>
      <c r="L75" s="312" t="n"/>
      <c r="M75" s="313" t="n"/>
      <c r="N75" s="314">
        <f>H75*I75*M75</f>
        <v/>
      </c>
      <c r="O75" s="208" t="inlineStr">
        <is>
          <t>甲级</t>
        </is>
      </c>
      <c r="P75" s="315" t="n"/>
      <c r="Q75" s="314">
        <f>N75*P75</f>
        <v/>
      </c>
      <c r="R75" s="314">
        <f>N75+Q75</f>
        <v/>
      </c>
      <c r="S75" s="312" t="inlineStr">
        <is>
          <t>表3.3-4、表3.3-5</t>
        </is>
      </c>
      <c r="T75" s="312" t="n"/>
      <c r="U75" s="104" t="n"/>
      <c r="W75" s="154" t="n"/>
      <c r="X75" s="323">
        <f>VLOOKUP(F75,{"Ⅰ","89";"Ⅱ","138";"Ⅲ","227";"Ⅳ","534";"Ⅴ","668";"Ⅵ","757"},2,0)</f>
        <v/>
      </c>
      <c r="Y75" s="111" t="n"/>
      <c r="Z75" s="118" t="n">
        <v>1.3</v>
      </c>
      <c r="AA75" s="111" t="n"/>
      <c r="AB75" s="320">
        <f>VLOOKUP(O75,{"甲级","1.2";"乙级","1.0";"丙级","0.8"},2,0)</f>
        <v/>
      </c>
      <c r="AC75" s="111" t="n"/>
      <c r="AD75" s="317">
        <f>H75+AG75-X75</f>
        <v/>
      </c>
      <c r="AE75" s="317">
        <f>M75+AH75-Z75</f>
        <v/>
      </c>
      <c r="AF75" s="317">
        <f>P75+AI75-AB75</f>
        <v/>
      </c>
      <c r="AG75" s="131" t="n"/>
      <c r="AH75" s="131" t="n"/>
      <c r="AI75" s="131" t="n"/>
      <c r="AJ75" s="131" t="n"/>
      <c r="AK75" s="131" t="n"/>
      <c r="AL75" s="131" t="n"/>
      <c r="AM75" s="131" t="n"/>
      <c r="AN75" s="131" t="n"/>
      <c r="AO75" s="131" t="n"/>
    </row>
    <row r="76" ht="14.4" customFormat="1" customHeight="1" s="47">
      <c r="A76" s="208" t="n">
        <v>73</v>
      </c>
      <c r="B76" s="321" t="n"/>
      <c r="C76" s="307" t="n"/>
      <c r="D76" s="307" t="n"/>
      <c r="E76" s="216" t="inlineStr">
        <is>
          <t>40＜D≤50</t>
        </is>
      </c>
      <c r="F76" s="208" t="inlineStr">
        <is>
          <t>Ⅰ</t>
        </is>
      </c>
      <c r="G76" s="312" t="inlineStr">
        <is>
          <t>m</t>
        </is>
      </c>
      <c r="H76" s="318" t="n"/>
      <c r="I76" s="312" t="n"/>
      <c r="J76" s="312" t="n"/>
      <c r="K76" s="312" t="n"/>
      <c r="L76" s="312" t="n"/>
      <c r="M76" s="313" t="n"/>
      <c r="N76" s="314">
        <f>H76*I76*M76</f>
        <v/>
      </c>
      <c r="O76" s="208" t="inlineStr">
        <is>
          <t>甲级</t>
        </is>
      </c>
      <c r="P76" s="315" t="n"/>
      <c r="Q76" s="314">
        <f>N76*P76</f>
        <v/>
      </c>
      <c r="R76" s="314">
        <f>N76+Q76</f>
        <v/>
      </c>
      <c r="S76" s="312" t="inlineStr">
        <is>
          <t>表3.3-4、表3.3-5</t>
        </is>
      </c>
      <c r="T76" s="312" t="n"/>
      <c r="U76" s="104" t="n"/>
      <c r="W76" s="154" t="n"/>
      <c r="X76" s="323">
        <f>VLOOKUP(F76,{"Ⅰ","106";"Ⅱ","164";"Ⅲ","270";"Ⅳ","636";"Ⅴ","795";"Ⅵ","901"},2,0)</f>
        <v/>
      </c>
      <c r="Y76" s="111" t="n"/>
      <c r="Z76" s="118" t="n">
        <v>1.3</v>
      </c>
      <c r="AA76" s="111" t="n"/>
      <c r="AB76" s="320">
        <f>VLOOKUP(O76,{"甲级","1.2";"乙级","1.0";"丙级","0.8"},2,0)</f>
        <v/>
      </c>
      <c r="AC76" s="111" t="n"/>
      <c r="AD76" s="317">
        <f>H76+AG76-X76</f>
        <v/>
      </c>
      <c r="AE76" s="317">
        <f>M76+AH76-Z76</f>
        <v/>
      </c>
      <c r="AF76" s="317">
        <f>P76+AI76-AB76</f>
        <v/>
      </c>
      <c r="AG76" s="131" t="n"/>
      <c r="AH76" s="131" t="n"/>
      <c r="AI76" s="131" t="n"/>
      <c r="AJ76" s="131" t="n"/>
      <c r="AK76" s="131" t="n"/>
      <c r="AL76" s="131" t="n"/>
      <c r="AM76" s="131" t="n"/>
      <c r="AN76" s="131" t="n"/>
      <c r="AO76" s="131" t="n"/>
    </row>
    <row r="77" ht="14.4" customFormat="1" customHeight="1" s="47">
      <c r="A77" s="208" t="n">
        <v>74</v>
      </c>
      <c r="B77" s="321" t="n"/>
      <c r="C77" s="209" t="inlineStr">
        <is>
          <t>静力触探</t>
        </is>
      </c>
      <c r="D77" s="210" t="inlineStr">
        <is>
          <t>双桥</t>
        </is>
      </c>
      <c r="E77" s="216" t="inlineStr">
        <is>
          <t>D≤10</t>
        </is>
      </c>
      <c r="F77" s="208" t="inlineStr">
        <is>
          <t>Ⅰ</t>
        </is>
      </c>
      <c r="G77" s="312" t="inlineStr">
        <is>
          <t>m</t>
        </is>
      </c>
      <c r="H77" s="318" t="n"/>
      <c r="I77" s="312" t="n"/>
      <c r="J77" s="312" t="n"/>
      <c r="K77" s="312" t="n"/>
      <c r="L77" s="312" t="n"/>
      <c r="M77" s="313" t="n"/>
      <c r="N77" s="314">
        <f>H77*I77*M77</f>
        <v/>
      </c>
      <c r="O77" s="208" t="inlineStr">
        <is>
          <t>甲级</t>
        </is>
      </c>
      <c r="P77" s="315" t="n"/>
      <c r="Q77" s="314">
        <f>N77*P77</f>
        <v/>
      </c>
      <c r="R77" s="314">
        <f>N77+Q77</f>
        <v/>
      </c>
      <c r="S77" s="312" t="inlineStr">
        <is>
          <t>表3.3-4、表3.3-5</t>
        </is>
      </c>
      <c r="T77" s="312" t="n"/>
      <c r="U77" s="104" t="n"/>
      <c r="W77" s="154" t="n"/>
      <c r="X77" s="323">
        <f>VLOOKUP(F77,{"Ⅰ","39.10";"Ⅱ","56.35";"Ⅲ","94.30"},2,0)</f>
        <v/>
      </c>
      <c r="Y77" s="111" t="n"/>
      <c r="Z77" s="118" t="n">
        <v>1.3</v>
      </c>
      <c r="AA77" s="111" t="n"/>
      <c r="AB77" s="320">
        <f>VLOOKUP(O77,{"甲级","1.2";"乙级","1.0";"丙级","0.8"},2,0)</f>
        <v/>
      </c>
      <c r="AC77" s="111" t="n"/>
      <c r="AD77" s="317">
        <f>H77+AG77-X77</f>
        <v/>
      </c>
      <c r="AE77" s="317">
        <f>M77+AH77-Z77</f>
        <v/>
      </c>
      <c r="AF77" s="317">
        <f>P77+AI77-AB77</f>
        <v/>
      </c>
      <c r="AG77" s="131" t="n"/>
      <c r="AH77" s="131" t="n"/>
      <c r="AI77" s="131" t="n"/>
      <c r="AJ77" s="131" t="n"/>
      <c r="AK77" s="131" t="n"/>
      <c r="AL77" s="131" t="n"/>
      <c r="AM77" s="131" t="n"/>
      <c r="AN77" s="131" t="n"/>
      <c r="AO77" s="131" t="n"/>
    </row>
    <row r="78" ht="14.4" customFormat="1" customHeight="1" s="47">
      <c r="A78" s="208" t="n">
        <v>75</v>
      </c>
      <c r="B78" s="321" t="n"/>
      <c r="C78" s="321" t="n"/>
      <c r="D78" s="321" t="n"/>
      <c r="E78" s="216" t="inlineStr">
        <is>
          <t>10＜D≤20</t>
        </is>
      </c>
      <c r="F78" s="208" t="inlineStr">
        <is>
          <t>Ⅰ</t>
        </is>
      </c>
      <c r="G78" s="312" t="inlineStr">
        <is>
          <t>m</t>
        </is>
      </c>
      <c r="H78" s="318" t="n"/>
      <c r="I78" s="312" t="n"/>
      <c r="J78" s="312" t="n"/>
      <c r="K78" s="312" t="n"/>
      <c r="L78" s="312" t="n"/>
      <c r="M78" s="313" t="n"/>
      <c r="N78" s="314">
        <f>H78*I78*M78</f>
        <v/>
      </c>
      <c r="O78" s="208" t="inlineStr">
        <is>
          <t>甲级</t>
        </is>
      </c>
      <c r="P78" s="315" t="n"/>
      <c r="Q78" s="314">
        <f>N78*P78</f>
        <v/>
      </c>
      <c r="R78" s="314">
        <f>N78+Q78</f>
        <v/>
      </c>
      <c r="S78" s="312" t="inlineStr">
        <is>
          <t>表3.3-4、表3.3-5</t>
        </is>
      </c>
      <c r="T78" s="312" t="n"/>
      <c r="U78" s="104" t="n"/>
      <c r="W78" s="154" t="n"/>
      <c r="X78" s="323">
        <f>VLOOKUP(F78,{"Ⅰ","49.45";"Ⅱ","71.30";"Ⅲ","117.30"},2,0)</f>
        <v/>
      </c>
      <c r="Y78" s="111" t="n"/>
      <c r="Z78" s="118" t="n">
        <v>1.3</v>
      </c>
      <c r="AA78" s="111" t="n"/>
      <c r="AB78" s="320">
        <f>VLOOKUP(O78,{"甲级","1.2";"乙级","1.0";"丙级","0.8"},2,0)</f>
        <v/>
      </c>
      <c r="AC78" s="111" t="n"/>
      <c r="AD78" s="317">
        <f>H78+AG78-X78</f>
        <v/>
      </c>
      <c r="AE78" s="317">
        <f>M78+AH78-Z78</f>
        <v/>
      </c>
      <c r="AF78" s="317">
        <f>P78+AI78-AB78</f>
        <v/>
      </c>
      <c r="AG78" s="131" t="n"/>
      <c r="AH78" s="131" t="n"/>
      <c r="AI78" s="131" t="n"/>
      <c r="AJ78" s="131" t="n"/>
      <c r="AK78" s="131" t="n"/>
      <c r="AL78" s="131" t="n"/>
      <c r="AM78" s="131" t="n"/>
      <c r="AN78" s="131" t="n"/>
      <c r="AO78" s="131" t="n"/>
    </row>
    <row r="79" ht="14.4" customFormat="1" customHeight="1" s="47">
      <c r="A79" s="208" t="n">
        <v>76</v>
      </c>
      <c r="B79" s="321" t="n"/>
      <c r="C79" s="321" t="n"/>
      <c r="D79" s="321" t="n"/>
      <c r="E79" s="216" t="inlineStr">
        <is>
          <t>20＜D≤30</t>
        </is>
      </c>
      <c r="F79" s="208" t="inlineStr">
        <is>
          <t>Ⅰ</t>
        </is>
      </c>
      <c r="G79" s="312" t="inlineStr">
        <is>
          <t>m</t>
        </is>
      </c>
      <c r="H79" s="318" t="n"/>
      <c r="I79" s="312" t="n"/>
      <c r="J79" s="312" t="n"/>
      <c r="K79" s="312" t="n"/>
      <c r="L79" s="312" t="n"/>
      <c r="M79" s="313" t="n"/>
      <c r="N79" s="314">
        <f>H79*I79*M79</f>
        <v/>
      </c>
      <c r="O79" s="208" t="inlineStr">
        <is>
          <t>甲级</t>
        </is>
      </c>
      <c r="P79" s="315" t="n"/>
      <c r="Q79" s="314">
        <f>N79*P79</f>
        <v/>
      </c>
      <c r="R79" s="314">
        <f>N79+Q79</f>
        <v/>
      </c>
      <c r="S79" s="312" t="inlineStr">
        <is>
          <t>表3.3-4、表3.3-5</t>
        </is>
      </c>
      <c r="T79" s="312" t="n"/>
      <c r="U79" s="104" t="n"/>
      <c r="W79" s="154" t="n"/>
      <c r="X79" s="323">
        <f>VLOOKUP(F79,{"Ⅰ","58.65";"Ⅱ","85.10";"Ⅲ","140.30"},2,0)</f>
        <v/>
      </c>
      <c r="Y79" s="111" t="n"/>
      <c r="Z79" s="118" t="n">
        <v>1.3</v>
      </c>
      <c r="AA79" s="111" t="n"/>
      <c r="AB79" s="320">
        <f>VLOOKUP(O79,{"甲级","1.2";"乙级","1.0";"丙级","0.8"},2,0)</f>
        <v/>
      </c>
      <c r="AC79" s="111" t="n"/>
      <c r="AD79" s="317">
        <f>H79+AG79-X79</f>
        <v/>
      </c>
      <c r="AE79" s="317">
        <f>M79+AH79-Z79</f>
        <v/>
      </c>
      <c r="AF79" s="317">
        <f>P79+AI79-AB79</f>
        <v/>
      </c>
      <c r="AG79" s="131" t="n"/>
      <c r="AH79" s="131" t="n"/>
      <c r="AI79" s="131" t="n"/>
      <c r="AJ79" s="131" t="n"/>
      <c r="AK79" s="131" t="n"/>
      <c r="AL79" s="131" t="n"/>
      <c r="AM79" s="131" t="n"/>
      <c r="AN79" s="131" t="n"/>
      <c r="AO79" s="131" t="n"/>
    </row>
    <row r="80" ht="14.4" customFormat="1" customHeight="1" s="47">
      <c r="A80" s="208" t="n">
        <v>77</v>
      </c>
      <c r="B80" s="321" t="n"/>
      <c r="C80" s="321" t="n"/>
      <c r="D80" s="321" t="n"/>
      <c r="E80" s="216" t="inlineStr">
        <is>
          <t>30＜D≤40</t>
        </is>
      </c>
      <c r="F80" s="208" t="inlineStr">
        <is>
          <t>Ⅰ</t>
        </is>
      </c>
      <c r="G80" s="312" t="inlineStr">
        <is>
          <t>m</t>
        </is>
      </c>
      <c r="H80" s="318" t="n"/>
      <c r="I80" s="312" t="n"/>
      <c r="J80" s="312" t="n"/>
      <c r="K80" s="312" t="n"/>
      <c r="L80" s="312" t="n"/>
      <c r="M80" s="313" t="n"/>
      <c r="N80" s="314">
        <f>H80*I80*M80</f>
        <v/>
      </c>
      <c r="O80" s="208" t="inlineStr">
        <is>
          <t>甲级</t>
        </is>
      </c>
      <c r="P80" s="315" t="n"/>
      <c r="Q80" s="314">
        <f>N80*P80</f>
        <v/>
      </c>
      <c r="R80" s="314">
        <f>N80+Q80</f>
        <v/>
      </c>
      <c r="S80" s="312" t="inlineStr">
        <is>
          <t>表3.3-4、表3.3-5</t>
        </is>
      </c>
      <c r="T80" s="312" t="n"/>
      <c r="U80" s="104" t="n"/>
      <c r="W80" s="154" t="n"/>
      <c r="X80" s="323">
        <f>VLOOKUP(F80,{"Ⅰ","70.15";"Ⅱ","101.20";"Ⅲ","166.75"},2,0)</f>
        <v/>
      </c>
      <c r="Y80" s="111" t="n"/>
      <c r="Z80" s="118" t="n">
        <v>1.3</v>
      </c>
      <c r="AA80" s="111" t="n"/>
      <c r="AB80" s="320">
        <f>VLOOKUP(O80,{"甲级","1.2";"乙级","1.0";"丙级","0.8"},2,0)</f>
        <v/>
      </c>
      <c r="AC80" s="111" t="n"/>
      <c r="AD80" s="317">
        <f>H80+AG80-X80</f>
        <v/>
      </c>
      <c r="AE80" s="317">
        <f>M80+AH80-Z80</f>
        <v/>
      </c>
      <c r="AF80" s="317">
        <f>P80+AI80-AB80</f>
        <v/>
      </c>
      <c r="AG80" s="131" t="n"/>
      <c r="AH80" s="131" t="n"/>
      <c r="AI80" s="131" t="n"/>
      <c r="AJ80" s="131" t="n"/>
      <c r="AK80" s="131" t="n"/>
      <c r="AL80" s="131" t="n"/>
      <c r="AM80" s="131" t="n"/>
      <c r="AN80" s="131" t="n"/>
      <c r="AO80" s="131" t="n"/>
    </row>
    <row r="81" ht="14.4" customFormat="1" customHeight="1" s="47">
      <c r="A81" s="208" t="n">
        <v>78</v>
      </c>
      <c r="B81" s="321" t="n"/>
      <c r="C81" s="321" t="n"/>
      <c r="D81" s="321" t="n"/>
      <c r="E81" s="216" t="inlineStr">
        <is>
          <t>40＜D≤50</t>
        </is>
      </c>
      <c r="F81" s="208" t="inlineStr">
        <is>
          <t>Ⅰ</t>
        </is>
      </c>
      <c r="G81" s="312" t="inlineStr">
        <is>
          <t>m</t>
        </is>
      </c>
      <c r="H81" s="318" t="n"/>
      <c r="I81" s="312" t="n"/>
      <c r="J81" s="312" t="n"/>
      <c r="K81" s="312" t="n"/>
      <c r="L81" s="312" t="n"/>
      <c r="M81" s="313" t="n"/>
      <c r="N81" s="314">
        <f>H81*I81*M81</f>
        <v/>
      </c>
      <c r="O81" s="208" t="inlineStr">
        <is>
          <t>甲级</t>
        </is>
      </c>
      <c r="P81" s="315" t="n"/>
      <c r="Q81" s="314">
        <f>N81*P81</f>
        <v/>
      </c>
      <c r="R81" s="314">
        <f>N81+Q81</f>
        <v/>
      </c>
      <c r="S81" s="312" t="inlineStr">
        <is>
          <t>表3.3-4、表3.3-5</t>
        </is>
      </c>
      <c r="T81" s="312" t="n"/>
      <c r="U81" s="104" t="n"/>
      <c r="W81" s="154" t="n"/>
      <c r="X81" s="323">
        <f>VLOOKUP(F81,{"Ⅰ","82.80";"Ⅱ","120.75";"Ⅲ","198.95"},2,0)</f>
        <v/>
      </c>
      <c r="Y81" s="111" t="n"/>
      <c r="Z81" s="118" t="n">
        <v>1.3</v>
      </c>
      <c r="AA81" s="111" t="n"/>
      <c r="AB81" s="320">
        <f>VLOOKUP(O81,{"甲级","1.2";"乙级","1.0";"丙级","0.8"},2,0)</f>
        <v/>
      </c>
      <c r="AC81" s="111" t="n"/>
      <c r="AD81" s="317">
        <f>H81+AG81-X81</f>
        <v/>
      </c>
      <c r="AE81" s="317">
        <f>M81+AH81-Z81</f>
        <v/>
      </c>
      <c r="AF81" s="317">
        <f>P81+AI81-AB81</f>
        <v/>
      </c>
      <c r="AG81" s="131" t="n"/>
      <c r="AH81" s="131" t="n"/>
      <c r="AI81" s="131" t="n"/>
      <c r="AJ81" s="131" t="n"/>
      <c r="AK81" s="131" t="n"/>
      <c r="AL81" s="131" t="n"/>
      <c r="AM81" s="131" t="n"/>
      <c r="AN81" s="131" t="n"/>
      <c r="AO81" s="131" t="n"/>
    </row>
    <row r="82" ht="14.4" customFormat="1" customHeight="1" s="47">
      <c r="A82" s="208" t="n">
        <v>79</v>
      </c>
      <c r="B82" s="321" t="n"/>
      <c r="C82" s="321" t="n"/>
      <c r="D82" s="321" t="n"/>
      <c r="E82" s="216" t="inlineStr">
        <is>
          <t>50＜D≤60</t>
        </is>
      </c>
      <c r="F82" s="208" t="inlineStr">
        <is>
          <t>Ⅰ</t>
        </is>
      </c>
      <c r="G82" s="312" t="inlineStr">
        <is>
          <t>m</t>
        </is>
      </c>
      <c r="H82" s="318" t="n"/>
      <c r="I82" s="312" t="n"/>
      <c r="J82" s="312" t="n"/>
      <c r="K82" s="312" t="n"/>
      <c r="L82" s="312" t="n"/>
      <c r="M82" s="313" t="n"/>
      <c r="N82" s="314">
        <f>H82*I82*M82</f>
        <v/>
      </c>
      <c r="O82" s="208" t="inlineStr">
        <is>
          <t>甲级</t>
        </is>
      </c>
      <c r="P82" s="315" t="n"/>
      <c r="Q82" s="314">
        <f>N82*P82</f>
        <v/>
      </c>
      <c r="R82" s="314">
        <f>N82+Q82</f>
        <v/>
      </c>
      <c r="S82" s="312" t="inlineStr">
        <is>
          <t>表3.3-4、表3.3-5</t>
        </is>
      </c>
      <c r="T82" s="312" t="n"/>
      <c r="U82" s="104" t="n"/>
      <c r="W82" s="154" t="n"/>
      <c r="X82" s="323">
        <f>VLOOKUP(F82,{"Ⅰ","92";"Ⅱ","133.40";"Ⅲ","221.95"},2,0)</f>
        <v/>
      </c>
      <c r="Y82" s="111" t="n"/>
      <c r="Z82" s="118" t="n">
        <v>1.3</v>
      </c>
      <c r="AA82" s="111" t="n"/>
      <c r="AB82" s="320">
        <f>VLOOKUP(O82,{"甲级","1.2";"乙级","1.0";"丙级","0.8"},2,0)</f>
        <v/>
      </c>
      <c r="AC82" s="111" t="n"/>
      <c r="AD82" s="317">
        <f>H82+AG82-X82</f>
        <v/>
      </c>
      <c r="AE82" s="317">
        <f>M82+AH82-Z82</f>
        <v/>
      </c>
      <c r="AF82" s="317">
        <f>P82+AI82-AB82</f>
        <v/>
      </c>
      <c r="AG82" s="131" t="n"/>
      <c r="AH82" s="131" t="n"/>
      <c r="AI82" s="131" t="n"/>
      <c r="AJ82" s="131" t="n"/>
      <c r="AK82" s="131" t="n"/>
      <c r="AL82" s="131" t="n"/>
      <c r="AM82" s="131" t="n"/>
      <c r="AN82" s="131" t="n"/>
      <c r="AO82" s="131" t="n"/>
    </row>
    <row r="83" ht="14.4" customFormat="1" customHeight="1" s="47">
      <c r="A83" s="208" t="n">
        <v>80</v>
      </c>
      <c r="B83" s="321" t="n"/>
      <c r="C83" s="307" t="n"/>
      <c r="D83" s="307" t="n"/>
      <c r="E83" s="216" t="inlineStr">
        <is>
          <t>60＜D≤80</t>
        </is>
      </c>
      <c r="F83" s="208" t="inlineStr">
        <is>
          <t>Ⅰ</t>
        </is>
      </c>
      <c r="G83" s="312" t="inlineStr">
        <is>
          <t>m</t>
        </is>
      </c>
      <c r="H83" s="318" t="n"/>
      <c r="I83" s="312" t="n"/>
      <c r="J83" s="312" t="n"/>
      <c r="K83" s="312" t="n"/>
      <c r="L83" s="312" t="n"/>
      <c r="M83" s="313" t="n"/>
      <c r="N83" s="314">
        <f>H83*I83*M83</f>
        <v/>
      </c>
      <c r="O83" s="208" t="inlineStr">
        <is>
          <t>甲级</t>
        </is>
      </c>
      <c r="P83" s="315" t="n"/>
      <c r="Q83" s="314">
        <f>N83*P83</f>
        <v/>
      </c>
      <c r="R83" s="314">
        <f>N83+Q83</f>
        <v/>
      </c>
      <c r="S83" s="312" t="inlineStr">
        <is>
          <t>表3.3-4、表3.3-5</t>
        </is>
      </c>
      <c r="T83" s="312" t="n"/>
      <c r="U83" s="104" t="n"/>
      <c r="W83" s="154" t="n"/>
      <c r="X83" s="323">
        <f>VLOOKUP(F83,{"Ⅰ","102.35";"Ⅱ","148.35";"Ⅲ","246.10"},2,0)</f>
        <v/>
      </c>
      <c r="Y83" s="111" t="n"/>
      <c r="Z83" s="118" t="n">
        <v>1.3</v>
      </c>
      <c r="AA83" s="111" t="n"/>
      <c r="AB83" s="320">
        <f>VLOOKUP(O83,{"甲级","1.2";"乙级","1.0";"丙级","0.8"},2,0)</f>
        <v/>
      </c>
      <c r="AC83" s="111" t="n"/>
      <c r="AD83" s="317">
        <f>H83+AG83-X83</f>
        <v/>
      </c>
      <c r="AE83" s="317">
        <f>M83+AH83-Z83</f>
        <v/>
      </c>
      <c r="AF83" s="317">
        <f>P83+AI83-AB83</f>
        <v/>
      </c>
      <c r="AG83" s="131" t="n"/>
      <c r="AH83" s="131" t="n"/>
      <c r="AI83" s="131" t="n"/>
      <c r="AJ83" s="131" t="n"/>
      <c r="AK83" s="131" t="n"/>
      <c r="AL83" s="131" t="n"/>
      <c r="AM83" s="131" t="n"/>
      <c r="AN83" s="131" t="n"/>
      <c r="AO83" s="131" t="n"/>
    </row>
    <row r="84" ht="24" customFormat="1" customHeight="1" s="47">
      <c r="A84" s="208" t="n">
        <v>81</v>
      </c>
      <c r="B84" s="307" t="n"/>
      <c r="C84" s="209" t="inlineStr">
        <is>
          <t>地应力测试</t>
        </is>
      </c>
      <c r="D84" s="210" t="inlineStr">
        <is>
          <t>压水致裂</t>
        </is>
      </c>
      <c r="E84" s="216" t="inlineStr">
        <is>
          <t>孔壁应变法</t>
        </is>
      </c>
      <c r="F84" s="208" t="n"/>
      <c r="G84" s="312" t="inlineStr">
        <is>
          <t>孔</t>
        </is>
      </c>
      <c r="H84" s="318" t="n"/>
      <c r="I84" s="312" t="n">
        <v>3</v>
      </c>
      <c r="J84" s="312" t="n"/>
      <c r="K84" s="312" t="n"/>
      <c r="L84" s="312" t="n"/>
      <c r="M84" s="313" t="n"/>
      <c r="N84" s="314">
        <f>H84*I84*M84</f>
        <v/>
      </c>
      <c r="O84" s="208" t="inlineStr">
        <is>
          <t>甲级</t>
        </is>
      </c>
      <c r="P84" s="315" t="n"/>
      <c r="Q84" s="314">
        <f>N84*P84</f>
        <v/>
      </c>
      <c r="R84" s="314">
        <f>N84+Q84</f>
        <v/>
      </c>
      <c r="S84" s="312" t="inlineStr">
        <is>
          <t>表3.3-4、表3.3-5</t>
        </is>
      </c>
      <c r="T84" s="312" t="n"/>
      <c r="U84" s="104" t="n"/>
      <c r="W84" s="154" t="n"/>
      <c r="X84" s="323" t="n">
        <v>35100</v>
      </c>
      <c r="Y84" s="111" t="n"/>
      <c r="Z84" s="118" t="n">
        <v>1</v>
      </c>
      <c r="AA84" s="111" t="n"/>
      <c r="AB84" s="320">
        <f>VLOOKUP(O84,{"甲级","1.2";"乙级","1.0";"丙级","0.8"},2,0)</f>
        <v/>
      </c>
      <c r="AC84" s="111" t="n"/>
      <c r="AD84" s="317">
        <f>H84+AG84-X84</f>
        <v/>
      </c>
      <c r="AE84" s="317">
        <f>M84+AH84-Z84</f>
        <v/>
      </c>
      <c r="AF84" s="317">
        <f>P84+AI84-AB84</f>
        <v/>
      </c>
      <c r="AG84" s="131" t="n"/>
      <c r="AH84" s="131" t="n"/>
      <c r="AI84" s="131" t="n"/>
      <c r="AJ84" s="131" t="n"/>
      <c r="AK84" s="131" t="n"/>
      <c r="AL84" s="131" t="n"/>
      <c r="AM84" s="131" t="n"/>
      <c r="AN84" s="131" t="n"/>
      <c r="AO84" s="131" t="n"/>
    </row>
    <row r="85" ht="36" customFormat="1" customHeight="1" s="47">
      <c r="A85" s="208" t="n">
        <v>82</v>
      </c>
      <c r="B85" s="209" t="inlineStr">
        <is>
          <t>水文地质勘察</t>
        </is>
      </c>
      <c r="C85" s="209" t="inlineStr">
        <is>
          <t>压注水试验</t>
        </is>
      </c>
      <c r="D85" s="210" t="inlineStr">
        <is>
          <t>压水</t>
        </is>
      </c>
      <c r="E85" s="216" t="inlineStr">
        <is>
          <t>D≤20</t>
        </is>
      </c>
      <c r="F85" s="208" t="n"/>
      <c r="G85" s="312" t="inlineStr">
        <is>
          <t>段次</t>
        </is>
      </c>
      <c r="H85" s="318" t="n"/>
      <c r="I85" s="312" t="n">
        <v>70</v>
      </c>
      <c r="J85" s="312" t="n"/>
      <c r="K85" s="312" t="n"/>
      <c r="L85" s="312" t="n"/>
      <c r="M85" s="313" t="n"/>
      <c r="N85" s="314">
        <f>H85*I85*M85</f>
        <v/>
      </c>
      <c r="O85" s="208" t="inlineStr">
        <is>
          <t>甲级</t>
        </is>
      </c>
      <c r="P85" s="315" t="n"/>
      <c r="Q85" s="314">
        <f>N85*P85</f>
        <v/>
      </c>
      <c r="R85" s="314">
        <f>N85+Q85</f>
        <v/>
      </c>
      <c r="S85" s="312" t="inlineStr">
        <is>
          <t>表3.3-4、表3.3-5</t>
        </is>
      </c>
      <c r="T85" s="312" t="n"/>
      <c r="U85" s="104" t="n"/>
      <c r="W85" s="154" t="n"/>
      <c r="X85" s="323" t="n">
        <v>1753</v>
      </c>
      <c r="Y85" s="111" t="n"/>
      <c r="Z85" s="118" t="n">
        <v>1</v>
      </c>
      <c r="AA85" s="111" t="n"/>
      <c r="AB85" s="320">
        <f>VLOOKUP(O85,{"甲级","1.2";"乙级","1.0";"丙级","0.8"},2,0)</f>
        <v/>
      </c>
      <c r="AC85" s="111" t="n"/>
      <c r="AD85" s="317">
        <f>H85+AG85-X85</f>
        <v/>
      </c>
      <c r="AE85" s="317">
        <f>M85+AH85-Z85</f>
        <v/>
      </c>
      <c r="AF85" s="317">
        <f>P85+AI85-AB85</f>
        <v/>
      </c>
      <c r="AG85" s="131" t="n"/>
      <c r="AH85" s="131" t="n"/>
      <c r="AI85" s="131" t="n"/>
      <c r="AJ85" s="131" t="n"/>
      <c r="AK85" s="131" t="n"/>
      <c r="AL85" s="131" t="n"/>
      <c r="AM85" s="131" t="n"/>
      <c r="AN85" s="131" t="n"/>
      <c r="AO85" s="131" t="n"/>
    </row>
    <row r="86" ht="14.4" customFormat="1" customHeight="1" s="47">
      <c r="A86" s="208" t="n">
        <v>83</v>
      </c>
      <c r="B86" s="321" t="n"/>
      <c r="C86" s="321" t="n"/>
      <c r="D86" s="307" t="n"/>
      <c r="E86" s="216" t="inlineStr">
        <is>
          <t>D＞20</t>
        </is>
      </c>
      <c r="F86" s="208" t="n"/>
      <c r="G86" s="312" t="inlineStr">
        <is>
          <t>段次</t>
        </is>
      </c>
      <c r="H86" s="318" t="n"/>
      <c r="I86" s="312" t="n"/>
      <c r="J86" s="312" t="n"/>
      <c r="K86" s="312" t="n"/>
      <c r="L86" s="312" t="n"/>
      <c r="M86" s="313" t="n"/>
      <c r="N86" s="314">
        <f>H86*I86*M86</f>
        <v/>
      </c>
      <c r="O86" s="208" t="inlineStr">
        <is>
          <t>甲级</t>
        </is>
      </c>
      <c r="P86" s="315" t="n"/>
      <c r="Q86" s="314">
        <f>N86*P86</f>
        <v/>
      </c>
      <c r="R86" s="314">
        <f>N86+Q86</f>
        <v/>
      </c>
      <c r="S86" s="312" t="inlineStr">
        <is>
          <t>表3.3-4、表3.3-5</t>
        </is>
      </c>
      <c r="T86" s="312" t="n"/>
      <c r="U86" s="104" t="n"/>
      <c r="W86" s="154" t="n"/>
      <c r="X86" s="323" t="n">
        <v>2104</v>
      </c>
      <c r="Y86" s="111" t="n"/>
      <c r="Z86" s="118" t="n">
        <v>1.3</v>
      </c>
      <c r="AA86" s="111" t="n"/>
      <c r="AB86" s="320">
        <f>VLOOKUP(O86,{"甲级","1.2";"乙级","1.0";"丙级","0.8"},2,0)</f>
        <v/>
      </c>
      <c r="AC86" s="111" t="n"/>
      <c r="AD86" s="317">
        <f>H86+AG86-X86</f>
        <v/>
      </c>
      <c r="AE86" s="317">
        <f>M86+AH86-Z86</f>
        <v/>
      </c>
      <c r="AF86" s="317">
        <f>P86+AI86-AB86</f>
        <v/>
      </c>
      <c r="AG86" s="131" t="n"/>
      <c r="AH86" s="131" t="n"/>
      <c r="AI86" s="131" t="n"/>
      <c r="AJ86" s="131" t="n"/>
      <c r="AK86" s="131" t="n"/>
      <c r="AL86" s="131" t="n"/>
      <c r="AM86" s="131" t="n"/>
      <c r="AN86" s="131" t="n"/>
      <c r="AO86" s="131" t="n"/>
    </row>
    <row r="87" ht="14.4" customFormat="1" customHeight="1" s="47">
      <c r="A87" s="208" t="n">
        <v>84</v>
      </c>
      <c r="B87" s="321" t="n"/>
      <c r="C87" s="321" t="n"/>
      <c r="D87" s="210" t="inlineStr">
        <is>
          <t>注水</t>
        </is>
      </c>
      <c r="E87" s="216" t="inlineStr">
        <is>
          <t>钻孔注水</t>
        </is>
      </c>
      <c r="F87" s="208" t="n"/>
      <c r="G87" s="312" t="inlineStr">
        <is>
          <t>段次</t>
        </is>
      </c>
      <c r="H87" s="318" t="n"/>
      <c r="I87" s="312" t="n"/>
      <c r="J87" s="312" t="n"/>
      <c r="K87" s="312" t="n"/>
      <c r="L87" s="312" t="n"/>
      <c r="M87" s="313" t="n"/>
      <c r="N87" s="314">
        <f>H87*I87*M87</f>
        <v/>
      </c>
      <c r="O87" s="208" t="inlineStr">
        <is>
          <t>甲级</t>
        </is>
      </c>
      <c r="P87" s="315" t="n"/>
      <c r="Q87" s="314">
        <f>N87*P87</f>
        <v/>
      </c>
      <c r="R87" s="314">
        <f>N87+Q87</f>
        <v/>
      </c>
      <c r="S87" s="312" t="inlineStr">
        <is>
          <t>表3.3-4、表3.3-5</t>
        </is>
      </c>
      <c r="T87" s="312" t="n"/>
      <c r="U87" s="104" t="n"/>
      <c r="W87" s="154" t="n"/>
      <c r="X87" s="323" t="n">
        <v>409</v>
      </c>
      <c r="Y87" s="111" t="n"/>
      <c r="Z87" s="118" t="n">
        <v>1.3</v>
      </c>
      <c r="AA87" s="111" t="n"/>
      <c r="AB87" s="320">
        <f>VLOOKUP(O87,{"甲级","1.2";"乙级","1.0";"丙级","0.8"},2,0)</f>
        <v/>
      </c>
      <c r="AC87" s="111" t="n"/>
      <c r="AD87" s="317">
        <f>H87+AG87-X87</f>
        <v/>
      </c>
      <c r="AE87" s="317">
        <f>M87+AH87-Z87</f>
        <v/>
      </c>
      <c r="AF87" s="317">
        <f>P87+AI87-AB87</f>
        <v/>
      </c>
      <c r="AG87" s="131" t="n"/>
      <c r="AH87" s="131" t="n"/>
      <c r="AI87" s="131" t="n"/>
      <c r="AJ87" s="131" t="n"/>
      <c r="AK87" s="131" t="n"/>
      <c r="AL87" s="131" t="n"/>
      <c r="AM87" s="131" t="n"/>
      <c r="AN87" s="131" t="n"/>
      <c r="AO87" s="131" t="n"/>
    </row>
    <row r="88" ht="14.4" customFormat="1" customHeight="1" s="47">
      <c r="A88" s="208" t="n">
        <v>85</v>
      </c>
      <c r="B88" s="321" t="n"/>
      <c r="C88" s="307" t="n"/>
      <c r="D88" s="307" t="n"/>
      <c r="E88" s="216" t="inlineStr">
        <is>
          <t>探井注水</t>
        </is>
      </c>
      <c r="F88" s="208" t="n"/>
      <c r="G88" s="312" t="inlineStr">
        <is>
          <t>段次</t>
        </is>
      </c>
      <c r="H88" s="318" t="n"/>
      <c r="I88" s="312" t="n"/>
      <c r="J88" s="312" t="n"/>
      <c r="K88" s="312" t="n"/>
      <c r="L88" s="312" t="n"/>
      <c r="M88" s="313" t="n"/>
      <c r="N88" s="314">
        <f>H88*I88*M88</f>
        <v/>
      </c>
      <c r="O88" s="208" t="inlineStr">
        <is>
          <t>甲级</t>
        </is>
      </c>
      <c r="P88" s="315" t="n"/>
      <c r="Q88" s="314">
        <f>N88*P88</f>
        <v/>
      </c>
      <c r="R88" s="314">
        <f>N88+Q88</f>
        <v/>
      </c>
      <c r="S88" s="312" t="inlineStr">
        <is>
          <t>表3.3-4、表3.3-5</t>
        </is>
      </c>
      <c r="T88" s="312" t="n"/>
      <c r="U88" s="104" t="n"/>
      <c r="W88" s="154" t="n"/>
      <c r="X88" s="323" t="n">
        <v>205</v>
      </c>
      <c r="Y88" s="111" t="n"/>
      <c r="Z88" s="118" t="n">
        <v>1.3</v>
      </c>
      <c r="AA88" s="111" t="n"/>
      <c r="AB88" s="320">
        <f>VLOOKUP(O88,{"甲级","1.2";"乙级","1.0";"丙级","0.8"},2,0)</f>
        <v/>
      </c>
      <c r="AC88" s="111" t="n"/>
      <c r="AD88" s="317">
        <f>H88+AG88-X88</f>
        <v/>
      </c>
      <c r="AE88" s="317">
        <f>M88+AH88-Z88</f>
        <v/>
      </c>
      <c r="AF88" s="317">
        <f>P88+AI88-AB88</f>
        <v/>
      </c>
      <c r="AG88" s="131" t="n"/>
      <c r="AH88" s="131" t="n"/>
      <c r="AI88" s="131" t="n"/>
      <c r="AJ88" s="131" t="n"/>
      <c r="AK88" s="131" t="n"/>
      <c r="AL88" s="131" t="n"/>
      <c r="AM88" s="131" t="n"/>
      <c r="AN88" s="131" t="n"/>
      <c r="AO88" s="131" t="n"/>
    </row>
    <row r="89" ht="84" customFormat="1" customHeight="1" s="47">
      <c r="A89" s="208" t="n">
        <v>86</v>
      </c>
      <c r="B89" s="321" t="n"/>
      <c r="C89" s="209" t="inlineStr">
        <is>
          <t>抽水试验</t>
        </is>
      </c>
      <c r="D89" s="210" t="n"/>
      <c r="E89" s="216" t="inlineStr">
        <is>
          <t>利用钻孔抽水</t>
        </is>
      </c>
      <c r="F89" s="208" t="n"/>
      <c r="G89" s="312" t="inlineStr">
        <is>
          <t>台班</t>
        </is>
      </c>
      <c r="H89" s="318" t="n"/>
      <c r="I89" s="312" t="n"/>
      <c r="J89" s="312" t="n"/>
      <c r="K89" s="312" t="n"/>
      <c r="L89" s="312" t="n"/>
      <c r="M89" s="313" t="n"/>
      <c r="N89" s="314">
        <f>H89*I89*M89</f>
        <v/>
      </c>
      <c r="O89" s="208" t="inlineStr">
        <is>
          <t>复杂</t>
        </is>
      </c>
      <c r="P89" s="315" t="n"/>
      <c r="Q89" s="314">
        <f>N89*P89</f>
        <v/>
      </c>
      <c r="R89" s="314">
        <f>N89+Q89</f>
        <v/>
      </c>
      <c r="S89" s="312" t="inlineStr">
        <is>
          <t>表5.5-1</t>
        </is>
      </c>
      <c r="T89" s="312" t="n"/>
      <c r="U89" s="104" t="n"/>
      <c r="W89" s="154" t="n"/>
      <c r="X89" s="323" t="n">
        <v>840</v>
      </c>
      <c r="Y89" s="111" t="n"/>
      <c r="Z89" s="118" t="n">
        <v>1</v>
      </c>
      <c r="AA89" s="111" t="n"/>
      <c r="AB89" s="320">
        <f>VLOOKUP(O89,{"简单","0.27";"中等","0.30";"复杂","0.33"},2,0)</f>
        <v/>
      </c>
      <c r="AC89" s="110" t="inlineStr">
        <is>
          <t>【第一层】【系数】要素1：水文地质勘察。
系数："简单","0.27";"中等","0.30";"复杂","0.33"</t>
        </is>
      </c>
      <c r="AD89" s="317">
        <f>H89+AG89-X89</f>
        <v/>
      </c>
      <c r="AE89" s="317">
        <f>M89+AH89-Z89</f>
        <v/>
      </c>
      <c r="AF89" s="317">
        <f>P89+AI89-AB89</f>
        <v/>
      </c>
      <c r="AG89" s="131" t="n"/>
      <c r="AH89" s="131" t="n"/>
      <c r="AI89" s="131" t="n"/>
      <c r="AJ89" s="131" t="n"/>
      <c r="AK89" s="131" t="n"/>
      <c r="AL89" s="131" t="n"/>
      <c r="AM89" s="131" t="n"/>
      <c r="AN89" s="131" t="n"/>
      <c r="AO89" s="131" t="n"/>
    </row>
    <row r="90" ht="14.4" customFormat="1" customHeight="1" s="47">
      <c r="A90" s="208" t="n">
        <v>87</v>
      </c>
      <c r="B90" s="321" t="n"/>
      <c r="C90" s="209" t="inlineStr">
        <is>
          <t>地下水位（温）观测</t>
        </is>
      </c>
      <c r="D90" s="216" t="inlineStr">
        <is>
          <t>试验观测孔</t>
        </is>
      </c>
      <c r="E90" s="304" t="n"/>
      <c r="F90" s="208" t="n"/>
      <c r="G90" s="312" t="inlineStr">
        <is>
          <t>台班</t>
        </is>
      </c>
      <c r="H90" s="318" t="n"/>
      <c r="I90" s="312" t="n">
        <v>32</v>
      </c>
      <c r="J90" s="312" t="n"/>
      <c r="K90" s="312" t="n"/>
      <c r="L90" s="312" t="n"/>
      <c r="M90" s="313" t="n"/>
      <c r="N90" s="314">
        <f>H90*I90*M90</f>
        <v/>
      </c>
      <c r="O90" s="208" t="inlineStr">
        <is>
          <t>复杂</t>
        </is>
      </c>
      <c r="P90" s="315" t="n"/>
      <c r="Q90" s="314">
        <f>N90*P90</f>
        <v/>
      </c>
      <c r="R90" s="314">
        <f>N90+Q90</f>
        <v/>
      </c>
      <c r="S90" s="312" t="inlineStr">
        <is>
          <t>表5.5-1</t>
        </is>
      </c>
      <c r="T90" s="312" t="n"/>
      <c r="U90" s="104" t="n"/>
      <c r="W90" s="154" t="n"/>
      <c r="X90" s="323" t="n">
        <v>170</v>
      </c>
      <c r="Y90" s="111" t="n"/>
      <c r="Z90" s="118" t="n">
        <v>1</v>
      </c>
      <c r="AA90" s="111" t="n"/>
      <c r="AB90" s="320">
        <f>VLOOKUP(O90,{"简单","0.27";"中等","0.30";"复杂","0.33"},2,0)</f>
        <v/>
      </c>
      <c r="AC90" s="111" t="n"/>
      <c r="AD90" s="317">
        <f>H90+AG90-X90</f>
        <v/>
      </c>
      <c r="AE90" s="317">
        <f>M90+AH90-Z90</f>
        <v/>
      </c>
      <c r="AF90" s="317">
        <f>P90+AI90-AB90</f>
        <v/>
      </c>
      <c r="AG90" s="131" t="n"/>
      <c r="AH90" s="131" t="n"/>
      <c r="AI90" s="131" t="n"/>
      <c r="AJ90" s="131" t="n"/>
      <c r="AK90" s="131" t="n"/>
      <c r="AL90" s="131" t="n"/>
      <c r="AM90" s="131" t="n"/>
      <c r="AN90" s="131" t="n"/>
      <c r="AO90" s="131" t="n"/>
    </row>
    <row r="91" ht="14.4" customFormat="1" customHeight="1" s="47">
      <c r="A91" s="208" t="n">
        <v>88</v>
      </c>
      <c r="B91" s="321" t="n"/>
      <c r="C91" s="321" t="n"/>
      <c r="D91" s="213" t="inlineStr">
        <is>
          <t>动态观测距离L（km）</t>
        </is>
      </c>
      <c r="E91" s="216" t="inlineStr">
        <is>
          <t>L≤5</t>
        </is>
      </c>
      <c r="F91" s="208" t="n"/>
      <c r="G91" s="312" t="inlineStr">
        <is>
          <t>次</t>
        </is>
      </c>
      <c r="H91" s="318" t="n"/>
      <c r="I91" s="312" t="n"/>
      <c r="J91" s="312" t="n"/>
      <c r="K91" s="312" t="n"/>
      <c r="L91" s="312" t="n"/>
      <c r="M91" s="313" t="n"/>
      <c r="N91" s="314">
        <f>H91*I91*M91</f>
        <v/>
      </c>
      <c r="O91" s="208" t="inlineStr">
        <is>
          <t>复杂</t>
        </is>
      </c>
      <c r="P91" s="315" t="n"/>
      <c r="Q91" s="314">
        <f>N91*P91</f>
        <v/>
      </c>
      <c r="R91" s="314">
        <f>N91+Q91</f>
        <v/>
      </c>
      <c r="S91" s="312" t="inlineStr">
        <is>
          <t>表5.5-1</t>
        </is>
      </c>
      <c r="T91" s="312" t="n"/>
      <c r="U91" s="104" t="n"/>
      <c r="W91" s="154" t="n"/>
      <c r="X91" s="323" t="n">
        <v>20</v>
      </c>
      <c r="Y91" s="111" t="n"/>
      <c r="Z91" s="118" t="n">
        <v>1</v>
      </c>
      <c r="AA91" s="111" t="n"/>
      <c r="AB91" s="320">
        <f>VLOOKUP(O91,{"简单","0.27";"中等","0.30";"复杂","0.33"},2,0)</f>
        <v/>
      </c>
      <c r="AC91" s="111" t="n"/>
      <c r="AD91" s="317">
        <f>H91+AG91-X91</f>
        <v/>
      </c>
      <c r="AE91" s="317">
        <f>M91+AH91-Z91</f>
        <v/>
      </c>
      <c r="AF91" s="317">
        <f>P91+AI91-AB91</f>
        <v/>
      </c>
      <c r="AG91" s="131" t="n"/>
      <c r="AH91" s="131" t="n"/>
      <c r="AI91" s="131" t="n"/>
      <c r="AJ91" s="131" t="n"/>
      <c r="AK91" s="131" t="n"/>
      <c r="AL91" s="131" t="n"/>
      <c r="AM91" s="131" t="n"/>
      <c r="AN91" s="131" t="n"/>
      <c r="AO91" s="131" t="n"/>
    </row>
    <row r="92" ht="14.4" customFormat="1" customHeight="1" s="47">
      <c r="A92" s="208" t="n">
        <v>89</v>
      </c>
      <c r="B92" s="321" t="n"/>
      <c r="C92" s="321" t="n"/>
      <c r="D92" s="321" t="n"/>
      <c r="E92" s="216" t="inlineStr">
        <is>
          <t>5＜L≤10</t>
        </is>
      </c>
      <c r="F92" s="208" t="n"/>
      <c r="G92" s="312" t="inlineStr">
        <is>
          <t>次</t>
        </is>
      </c>
      <c r="H92" s="318" t="n"/>
      <c r="I92" s="312" t="n"/>
      <c r="J92" s="312" t="n"/>
      <c r="K92" s="312" t="n"/>
      <c r="L92" s="312" t="n"/>
      <c r="M92" s="313" t="n"/>
      <c r="N92" s="314">
        <f>H92*I92*M92</f>
        <v/>
      </c>
      <c r="O92" s="208" t="inlineStr">
        <is>
          <t>复杂</t>
        </is>
      </c>
      <c r="P92" s="315" t="n"/>
      <c r="Q92" s="314">
        <f>N92*P92</f>
        <v/>
      </c>
      <c r="R92" s="314">
        <f>N92+Q92</f>
        <v/>
      </c>
      <c r="S92" s="312" t="inlineStr">
        <is>
          <t>表5.5-1</t>
        </is>
      </c>
      <c r="T92" s="312" t="n"/>
      <c r="U92" s="104" t="n"/>
      <c r="W92" s="154" t="n"/>
      <c r="X92" s="323" t="n">
        <v>40</v>
      </c>
      <c r="Y92" s="111" t="n"/>
      <c r="Z92" s="118" t="n">
        <v>1</v>
      </c>
      <c r="AA92" s="111" t="n"/>
      <c r="AB92" s="320">
        <f>VLOOKUP(O92,{"简单","0.27";"中等","0.30";"复杂","0.33"},2,0)</f>
        <v/>
      </c>
      <c r="AC92" s="111" t="n"/>
      <c r="AD92" s="317">
        <f>H92+AG92-X92</f>
        <v/>
      </c>
      <c r="AE92" s="317">
        <f>M92+AH92-Z92</f>
        <v/>
      </c>
      <c r="AF92" s="317">
        <f>P92+AI92-AB92</f>
        <v/>
      </c>
      <c r="AG92" s="131" t="n"/>
      <c r="AH92" s="131" t="n"/>
      <c r="AI92" s="131" t="n"/>
      <c r="AJ92" s="131" t="n"/>
      <c r="AK92" s="131" t="n"/>
      <c r="AL92" s="131" t="n"/>
      <c r="AM92" s="131" t="n"/>
      <c r="AN92" s="131" t="n"/>
      <c r="AO92" s="131" t="n"/>
    </row>
    <row r="93" ht="14.4" customFormat="1" customHeight="1" s="47">
      <c r="A93" s="208" t="n">
        <v>90</v>
      </c>
      <c r="B93" s="307" t="n"/>
      <c r="C93" s="307" t="n"/>
      <c r="D93" s="307" t="n"/>
      <c r="E93" s="216" t="inlineStr">
        <is>
          <t>L＞10</t>
        </is>
      </c>
      <c r="F93" s="208" t="n"/>
      <c r="G93" s="312" t="inlineStr">
        <is>
          <t>次</t>
        </is>
      </c>
      <c r="H93" s="318" t="n"/>
      <c r="I93" s="312" t="n"/>
      <c r="J93" s="312" t="n"/>
      <c r="K93" s="312" t="n"/>
      <c r="L93" s="312" t="n"/>
      <c r="M93" s="313" t="n"/>
      <c r="N93" s="314">
        <f>H93*I93*M93</f>
        <v/>
      </c>
      <c r="O93" s="208" t="inlineStr">
        <is>
          <t>复杂</t>
        </is>
      </c>
      <c r="P93" s="315" t="n"/>
      <c r="Q93" s="314">
        <f>N93*P93</f>
        <v/>
      </c>
      <c r="R93" s="314">
        <f>N93+Q93</f>
        <v/>
      </c>
      <c r="S93" s="312" t="inlineStr">
        <is>
          <t>表5.5-1</t>
        </is>
      </c>
      <c r="T93" s="312" t="n"/>
      <c r="U93" s="104" t="n"/>
      <c r="W93" s="154" t="n"/>
      <c r="X93" s="323" t="n">
        <v>50</v>
      </c>
      <c r="Y93" s="111" t="n"/>
      <c r="Z93" s="118" t="n">
        <v>1</v>
      </c>
      <c r="AA93" s="111" t="n"/>
      <c r="AB93" s="320">
        <f>VLOOKUP(O93,{"简单","0.27";"中等","0.30";"复杂","0.33"},2,0)</f>
        <v/>
      </c>
      <c r="AC93" s="111" t="n"/>
      <c r="AD93" s="317">
        <f>H93+AG93-X93</f>
        <v/>
      </c>
      <c r="AE93" s="317">
        <f>M93+AH93-Z93</f>
        <v/>
      </c>
      <c r="AF93" s="317">
        <f>P93+AI93-AB93</f>
        <v/>
      </c>
      <c r="AG93" s="131" t="n"/>
      <c r="AH93" s="131" t="n"/>
      <c r="AI93" s="131" t="n"/>
      <c r="AJ93" s="131" t="n"/>
      <c r="AK93" s="131" t="n"/>
      <c r="AL93" s="131" t="n"/>
      <c r="AM93" s="131" t="n"/>
      <c r="AN93" s="131" t="n"/>
      <c r="AO93" s="131" t="n"/>
    </row>
    <row r="94" ht="48" customFormat="1" customHeight="1" s="47">
      <c r="A94" s="208" t="n">
        <v>91</v>
      </c>
      <c r="B94" s="209" t="inlineStr">
        <is>
          <t>工程水文</t>
        </is>
      </c>
      <c r="C94" s="221" t="inlineStr">
        <is>
          <t>设计洪水</t>
        </is>
      </c>
      <c r="D94" s="213" t="inlineStr">
        <is>
          <t>设计洪水位</t>
        </is>
      </c>
      <c r="E94" s="216" t="inlineStr">
        <is>
          <t>河流设计洪水</t>
        </is>
      </c>
      <c r="F94" s="208" t="inlineStr">
        <is>
          <t>中等</t>
        </is>
      </c>
      <c r="G94" s="145" t="inlineStr">
        <is>
          <t>设计断面</t>
        </is>
      </c>
      <c r="H94" s="315" t="n"/>
      <c r="I94" s="312" t="n"/>
      <c r="J94" s="312" t="n"/>
      <c r="K94" s="312" t="n"/>
      <c r="L94" s="312" t="n"/>
      <c r="M94" s="313" t="n"/>
      <c r="N94" s="314">
        <f>H94*I94*M94</f>
        <v/>
      </c>
      <c r="O94" s="208" t="inlineStr">
        <is>
          <t>水文气象</t>
        </is>
      </c>
      <c r="P94" s="315" t="n"/>
      <c r="Q94" s="314">
        <f>N94*P94</f>
        <v/>
      </c>
      <c r="R94" s="314">
        <f>N94+Q94</f>
        <v/>
      </c>
      <c r="S94" s="312" t="inlineStr">
        <is>
          <t>表6.2-2</t>
        </is>
      </c>
      <c r="T94" s="312" t="n"/>
      <c r="U94" s="104" t="n"/>
      <c r="W94" s="154" t="n"/>
      <c r="X94" s="323">
        <f>VLOOKUP(F94,{"简单","54600";"中等","78100";"复杂","109300"},2,0)</f>
        <v/>
      </c>
      <c r="Y94" s="111" t="n"/>
      <c r="Z94" s="118" t="n">
        <v>1</v>
      </c>
      <c r="AA94" s="111" t="n"/>
      <c r="AB94" s="320" t="n">
        <v>0.22</v>
      </c>
      <c r="AC94" s="110" t="inlineStr">
        <is>
          <t>【第一层】【系数】要素1：工程水文。
系数：固定0.22</t>
        </is>
      </c>
      <c r="AD94" s="317">
        <f>H94+AG94-X94</f>
        <v/>
      </c>
      <c r="AE94" s="317">
        <f>M94+AH94-Z94</f>
        <v/>
      </c>
      <c r="AF94" s="317">
        <f>P94+AI94-AB94</f>
        <v/>
      </c>
      <c r="AG94" s="131" t="n"/>
      <c r="AH94" s="131" t="n"/>
      <c r="AI94" s="131" t="n"/>
      <c r="AJ94" s="131" t="n"/>
      <c r="AK94" s="131" t="n"/>
      <c r="AL94" s="131" t="n"/>
      <c r="AM94" s="131" t="n"/>
      <c r="AN94" s="131" t="n"/>
      <c r="AO94" s="131" t="n"/>
    </row>
    <row r="95" ht="24" customFormat="1" customHeight="1" s="47">
      <c r="A95" s="208" t="n">
        <v>92</v>
      </c>
      <c r="B95" s="321" t="n"/>
      <c r="C95" s="307" t="n"/>
      <c r="D95" s="307" t="n"/>
      <c r="E95" s="216" t="inlineStr">
        <is>
          <t>小流域暴雨洪水</t>
        </is>
      </c>
      <c r="F95" s="208" t="inlineStr">
        <is>
          <t>中等</t>
        </is>
      </c>
      <c r="G95" s="145" t="inlineStr">
        <is>
          <t>设计断面</t>
        </is>
      </c>
      <c r="H95" s="315" t="n"/>
      <c r="I95" s="312" t="n">
        <v>1</v>
      </c>
      <c r="J95" s="312" t="n"/>
      <c r="K95" s="312" t="n"/>
      <c r="L95" s="312" t="n"/>
      <c r="M95" s="313" t="n"/>
      <c r="N95" s="314">
        <f>H95*I95*M95</f>
        <v/>
      </c>
      <c r="O95" s="208" t="inlineStr">
        <is>
          <t>水文气象</t>
        </is>
      </c>
      <c r="P95" s="315" t="n"/>
      <c r="Q95" s="314">
        <f>N95*P95</f>
        <v/>
      </c>
      <c r="R95" s="314">
        <f>N95+Q95</f>
        <v/>
      </c>
      <c r="S95" s="312" t="inlineStr">
        <is>
          <t>表6.2-2</t>
        </is>
      </c>
      <c r="T95" s="312" t="n"/>
      <c r="U95" s="104" t="n"/>
      <c r="W95" s="154" t="n"/>
      <c r="X95" s="323">
        <f>VLOOKUP(F95,{"简单","6900";"中等","9900";"复杂","13900"},2,0)</f>
        <v/>
      </c>
      <c r="Y95" s="111" t="n"/>
      <c r="Z95" s="118" t="n">
        <v>1</v>
      </c>
      <c r="AA95" s="111" t="n"/>
      <c r="AB95" s="320" t="n">
        <v>0.22</v>
      </c>
      <c r="AC95" s="111" t="n"/>
      <c r="AD95" s="317">
        <f>H95+AG95-X95</f>
        <v/>
      </c>
      <c r="AE95" s="317">
        <f>M95+AH95-Z95</f>
        <v/>
      </c>
      <c r="AF95" s="317">
        <f>P95+AI95-AB95</f>
        <v/>
      </c>
      <c r="AG95" s="131" t="n"/>
      <c r="AH95" s="131" t="n"/>
      <c r="AI95" s="131" t="n"/>
      <c r="AJ95" s="131" t="n"/>
      <c r="AK95" s="131" t="n"/>
      <c r="AL95" s="131" t="n"/>
      <c r="AM95" s="131" t="n"/>
      <c r="AN95" s="131" t="n"/>
      <c r="AO95" s="131" t="n"/>
    </row>
    <row r="96" ht="24" customFormat="1" customHeight="1" s="47">
      <c r="A96" s="208" t="n">
        <v>93</v>
      </c>
      <c r="B96" s="307" t="n"/>
      <c r="C96" s="146" t="inlineStr">
        <is>
          <t>河流冲刷</t>
        </is>
      </c>
      <c r="D96" s="213" t="inlineStr">
        <is>
          <t>工程泥沙</t>
        </is>
      </c>
      <c r="E96" s="216" t="inlineStr">
        <is>
          <t>河床冲刷</t>
        </is>
      </c>
      <c r="F96" s="208" t="inlineStr">
        <is>
          <t>中等</t>
        </is>
      </c>
      <c r="G96" s="145" t="inlineStr">
        <is>
          <t>工程点</t>
        </is>
      </c>
      <c r="H96" s="315" t="n"/>
      <c r="I96" s="312" t="n">
        <v>1</v>
      </c>
      <c r="J96" s="312" t="n"/>
      <c r="K96" s="312" t="n"/>
      <c r="L96" s="312" t="n"/>
      <c r="M96" s="313" t="n"/>
      <c r="N96" s="314">
        <f>H96*I96*M96</f>
        <v/>
      </c>
      <c r="O96" s="208" t="inlineStr">
        <is>
          <t>水文气象</t>
        </is>
      </c>
      <c r="P96" s="315" t="n"/>
      <c r="Q96" s="314">
        <f>N96*P96</f>
        <v/>
      </c>
      <c r="R96" s="314">
        <f>N96+Q96</f>
        <v/>
      </c>
      <c r="S96" s="312" t="inlineStr">
        <is>
          <t>表6.2-2</t>
        </is>
      </c>
      <c r="T96" s="312" t="n"/>
      <c r="U96" s="104" t="n"/>
      <c r="W96" s="154" t="n"/>
      <c r="X96" s="323">
        <f>VLOOKUP(F96,{"简单","12400";"中等","17800";"复杂","24800"},2,0)</f>
        <v/>
      </c>
      <c r="Y96" s="111" t="n"/>
      <c r="Z96" s="118" t="n">
        <v>1</v>
      </c>
      <c r="AA96" s="111" t="n"/>
      <c r="AB96" s="320" t="n">
        <v>0.22</v>
      </c>
      <c r="AC96" s="111" t="n"/>
      <c r="AD96" s="317">
        <f>H96+AG96-X96</f>
        <v/>
      </c>
      <c r="AE96" s="317">
        <f>M96+AH96-Z96</f>
        <v/>
      </c>
      <c r="AF96" s="317">
        <f>P96+AI96-AB96</f>
        <v/>
      </c>
      <c r="AG96" s="131" t="n"/>
      <c r="AH96" s="131" t="n"/>
      <c r="AI96" s="131" t="n"/>
      <c r="AJ96" s="131" t="n"/>
      <c r="AK96" s="131" t="n"/>
      <c r="AL96" s="131" t="n"/>
      <c r="AM96" s="131" t="n"/>
      <c r="AN96" s="131" t="n"/>
      <c r="AO96" s="131" t="n"/>
    </row>
    <row r="97" ht="96" customFormat="1" customHeight="1" s="47">
      <c r="A97" s="208" t="n">
        <v>94</v>
      </c>
      <c r="B97" s="209" t="inlineStr">
        <is>
          <t>工程物探</t>
        </is>
      </c>
      <c r="C97" s="220" t="inlineStr">
        <is>
          <t>浅层地震反射或折射</t>
        </is>
      </c>
      <c r="D97" s="208" t="inlineStr">
        <is>
          <t>敲击</t>
        </is>
      </c>
      <c r="E97" s="303" t="n"/>
      <c r="F97" s="304" t="n"/>
      <c r="G97" s="312" t="inlineStr">
        <is>
          <t>检波点·炮</t>
        </is>
      </c>
      <c r="H97" s="328" t="n"/>
      <c r="I97" s="312" t="n">
        <v>2728</v>
      </c>
      <c r="J97" s="312" t="n"/>
      <c r="K97" s="312" t="n"/>
      <c r="L97" s="312" t="n"/>
      <c r="M97" s="313" t="n"/>
      <c r="N97" s="314">
        <f>H97*I97*M97</f>
        <v/>
      </c>
      <c r="O97" s="208" t="inlineStr">
        <is>
          <t>物探</t>
        </is>
      </c>
      <c r="P97" s="315" t="n"/>
      <c r="Q97" s="314">
        <f>N97*P97</f>
        <v/>
      </c>
      <c r="R97" s="314">
        <f>N97+Q97</f>
        <v/>
      </c>
      <c r="S97" s="312" t="inlineStr">
        <is>
          <t xml:space="preserve"> 表7.2-1</t>
        </is>
      </c>
      <c r="T97" s="312" t="inlineStr">
        <is>
          <t>山岭隧道地形系数1.7</t>
        </is>
      </c>
      <c r="U97" s="104" t="n"/>
      <c r="W97" s="154" t="n"/>
      <c r="X97" s="323" t="n">
        <v>18</v>
      </c>
      <c r="Y97" s="111" t="n"/>
      <c r="Z97" s="118" t="n">
        <v>1.7</v>
      </c>
      <c r="AA97" s="111" t="n"/>
      <c r="AB97" s="320">
        <f>VLOOKUP(O97,{"甲级","1.2";"乙级","1";"丙级","0.8";"物探","0.22"},2,0)</f>
        <v/>
      </c>
      <c r="AC97" s="110" t="inlineStr">
        <is>
          <t>【第一层】【系数】要素1：工程物探。
系数："甲级","1.2";"乙级","1";"丙级","0.8";"物探","0.22"</t>
        </is>
      </c>
      <c r="AD97" s="317">
        <f>H97+AG97-X97</f>
        <v/>
      </c>
      <c r="AE97" s="317">
        <f>M97+AH97-Z97</f>
        <v/>
      </c>
      <c r="AF97" s="317">
        <f>P97+AI97-AB97</f>
        <v/>
      </c>
      <c r="AG97" s="131" t="n"/>
      <c r="AH97" s="131" t="n"/>
      <c r="AI97" s="131" t="n"/>
      <c r="AJ97" s="131" t="n"/>
      <c r="AK97" s="131" t="n"/>
      <c r="AL97" s="131" t="n"/>
      <c r="AM97" s="131" t="n"/>
      <c r="AN97" s="131" t="n"/>
      <c r="AO97" s="131" t="n"/>
    </row>
    <row r="98" ht="24" customFormat="1" customHeight="1" s="47">
      <c r="A98" s="208" t="n">
        <v>95</v>
      </c>
      <c r="B98" s="321" t="n"/>
      <c r="C98" s="321" t="n"/>
      <c r="D98" s="210" t="inlineStr">
        <is>
          <t>爆炸</t>
        </is>
      </c>
      <c r="E98" s="213" t="inlineStr">
        <is>
          <t>陆地</t>
        </is>
      </c>
      <c r="F98" s="213" t="n"/>
      <c r="G98" s="312" t="inlineStr">
        <is>
          <t>检波点·炮</t>
        </is>
      </c>
      <c r="H98" s="328" t="n"/>
      <c r="I98" s="312" t="n"/>
      <c r="J98" s="312" t="n"/>
      <c r="K98" s="312" t="n"/>
      <c r="L98" s="312" t="n"/>
      <c r="M98" s="313" t="n"/>
      <c r="N98" s="314">
        <f>H98*I98*M98</f>
        <v/>
      </c>
      <c r="O98" s="208" t="inlineStr">
        <is>
          <t>物探</t>
        </is>
      </c>
      <c r="P98" s="315" t="n"/>
      <c r="Q98" s="314">
        <f>N98*P98</f>
        <v/>
      </c>
      <c r="R98" s="314">
        <f>N98+Q98</f>
        <v/>
      </c>
      <c r="S98" s="312" t="inlineStr">
        <is>
          <t xml:space="preserve"> 表7.2-1</t>
        </is>
      </c>
      <c r="T98" s="312" t="n"/>
      <c r="U98" s="104" t="n"/>
      <c r="W98" s="154" t="n"/>
      <c r="X98" s="323" t="n">
        <v>25</v>
      </c>
      <c r="Y98" s="111" t="n"/>
      <c r="Z98" s="118" t="n">
        <v>1</v>
      </c>
      <c r="AA98" s="111" t="n"/>
      <c r="AB98" s="320">
        <f>VLOOKUP(O98,{"甲级","1.2";"乙级","1";"丙级","0.8";"物探","0.22"},2,0)</f>
        <v/>
      </c>
      <c r="AC98" s="111" t="n"/>
      <c r="AD98" s="317">
        <f>H98+AG98-X98</f>
        <v/>
      </c>
      <c r="AE98" s="317">
        <f>M98+AH98-Z98</f>
        <v/>
      </c>
      <c r="AF98" s="317">
        <f>P98+AI98-AB98</f>
        <v/>
      </c>
      <c r="AG98" s="131" t="n"/>
      <c r="AH98" s="131" t="n"/>
      <c r="AI98" s="131" t="n"/>
      <c r="AJ98" s="131" t="n"/>
      <c r="AK98" s="131" t="n"/>
      <c r="AL98" s="131" t="n"/>
      <c r="AM98" s="131" t="n"/>
      <c r="AN98" s="131" t="n"/>
      <c r="AO98" s="131" t="n"/>
    </row>
    <row r="99" ht="24" customFormat="1" customHeight="1" s="47">
      <c r="A99" s="208" t="n">
        <v>96</v>
      </c>
      <c r="B99" s="321" t="n"/>
      <c r="C99" s="321" t="n"/>
      <c r="D99" s="321" t="n"/>
      <c r="E99" s="213" t="inlineStr">
        <is>
          <t>水面布点</t>
        </is>
      </c>
      <c r="F99" s="216" t="inlineStr">
        <is>
          <t>顺流</t>
        </is>
      </c>
      <c r="G99" s="312" t="inlineStr">
        <is>
          <t>检波点·炮</t>
        </is>
      </c>
      <c r="H99" s="328" t="n"/>
      <c r="I99" s="312" t="n"/>
      <c r="J99" s="312" t="n"/>
      <c r="K99" s="312" t="n"/>
      <c r="L99" s="312" t="n"/>
      <c r="M99" s="313" t="n"/>
      <c r="N99" s="314">
        <f>H99*I99*M99</f>
        <v/>
      </c>
      <c r="O99" s="208" t="inlineStr">
        <is>
          <t>物探</t>
        </is>
      </c>
      <c r="P99" s="315" t="n"/>
      <c r="Q99" s="314">
        <f>N99*P99</f>
        <v/>
      </c>
      <c r="R99" s="314">
        <f>N99+Q99</f>
        <v/>
      </c>
      <c r="S99" s="312" t="inlineStr">
        <is>
          <t xml:space="preserve"> 表7.2-1</t>
        </is>
      </c>
      <c r="T99" s="312" t="n"/>
      <c r="U99" s="104" t="n"/>
      <c r="W99" s="154" t="n"/>
      <c r="X99" s="323" t="n">
        <v>45</v>
      </c>
      <c r="Y99" s="111" t="n"/>
      <c r="Z99" s="118" t="n">
        <v>1</v>
      </c>
      <c r="AA99" s="111" t="n"/>
      <c r="AB99" s="320">
        <f>VLOOKUP(O99,{"甲级","1.2";"乙级","1";"丙级","0.8";"物探","0.22"},2,0)</f>
        <v/>
      </c>
      <c r="AC99" s="111" t="n"/>
      <c r="AD99" s="317">
        <f>H99+AG99-X99</f>
        <v/>
      </c>
      <c r="AE99" s="317">
        <f>M99+AH99-Z99</f>
        <v/>
      </c>
      <c r="AF99" s="317">
        <f>P99+AI99-AB99</f>
        <v/>
      </c>
      <c r="AG99" s="131" t="n"/>
      <c r="AH99" s="131" t="n"/>
      <c r="AI99" s="131" t="n"/>
      <c r="AJ99" s="131" t="n"/>
      <c r="AK99" s="131" t="n"/>
      <c r="AL99" s="131" t="n"/>
      <c r="AM99" s="131" t="n"/>
      <c r="AN99" s="131" t="n"/>
      <c r="AO99" s="131" t="n"/>
    </row>
    <row r="100" ht="24" customFormat="1" customHeight="1" s="47">
      <c r="A100" s="208" t="n">
        <v>97</v>
      </c>
      <c r="B100" s="321" t="n"/>
      <c r="C100" s="321" t="n"/>
      <c r="D100" s="321" t="n"/>
      <c r="E100" s="307" t="n"/>
      <c r="F100" s="216" t="inlineStr">
        <is>
          <t>横穿</t>
        </is>
      </c>
      <c r="G100" s="312" t="inlineStr">
        <is>
          <t>检波点·炮</t>
        </is>
      </c>
      <c r="H100" s="328" t="n"/>
      <c r="I100" s="312" t="n"/>
      <c r="J100" s="312" t="n"/>
      <c r="K100" s="312" t="n"/>
      <c r="L100" s="312" t="n"/>
      <c r="M100" s="313" t="n"/>
      <c r="N100" s="314">
        <f>H100*I100*M100</f>
        <v/>
      </c>
      <c r="O100" s="208" t="inlineStr">
        <is>
          <t>物探</t>
        </is>
      </c>
      <c r="P100" s="315" t="n"/>
      <c r="Q100" s="314">
        <f>N100*P100</f>
        <v/>
      </c>
      <c r="R100" s="314">
        <f>N100+Q100</f>
        <v/>
      </c>
      <c r="S100" s="312" t="inlineStr">
        <is>
          <t xml:space="preserve"> 表7.2-1</t>
        </is>
      </c>
      <c r="T100" s="312" t="n"/>
      <c r="U100" s="104" t="n"/>
      <c r="W100" s="154" t="n"/>
      <c r="X100" s="323" t="n">
        <v>220</v>
      </c>
      <c r="Y100" s="111" t="n"/>
      <c r="Z100" s="118" t="n">
        <v>1</v>
      </c>
      <c r="AA100" s="111" t="n"/>
      <c r="AB100" s="320">
        <f>VLOOKUP(O100,{"甲级","1.2";"乙级","1";"丙级","0.8";"物探","0.22"},2,0)</f>
        <v/>
      </c>
      <c r="AC100" s="111" t="n"/>
      <c r="AD100" s="317">
        <f>H100+AG100-X100</f>
        <v/>
      </c>
      <c r="AE100" s="317">
        <f>M100+AH100-Z100</f>
        <v/>
      </c>
      <c r="AF100" s="317">
        <f>P100+AI100-AB100</f>
        <v/>
      </c>
      <c r="AG100" s="131" t="n"/>
      <c r="AH100" s="131" t="n"/>
      <c r="AI100" s="131" t="n"/>
      <c r="AJ100" s="131" t="n"/>
      <c r="AK100" s="131" t="n"/>
      <c r="AL100" s="131" t="n"/>
      <c r="AM100" s="131" t="n"/>
      <c r="AN100" s="131" t="n"/>
      <c r="AO100" s="131" t="n"/>
    </row>
    <row r="101" ht="24" customFormat="1" customHeight="1" s="47">
      <c r="A101" s="208" t="n">
        <v>98</v>
      </c>
      <c r="B101" s="321" t="n"/>
      <c r="C101" s="321" t="n"/>
      <c r="D101" s="321" t="n"/>
      <c r="E101" s="213" t="inlineStr">
        <is>
          <t>水底布点</t>
        </is>
      </c>
      <c r="F101" s="216" t="inlineStr">
        <is>
          <t>顺流</t>
        </is>
      </c>
      <c r="G101" s="312" t="inlineStr">
        <is>
          <t>检波点·炮</t>
        </is>
      </c>
      <c r="H101" s="328" t="n"/>
      <c r="I101" s="312" t="n"/>
      <c r="J101" s="312" t="n"/>
      <c r="K101" s="312" t="n"/>
      <c r="L101" s="312" t="n"/>
      <c r="M101" s="313" t="n"/>
      <c r="N101" s="314">
        <f>H101*I101*M101</f>
        <v/>
      </c>
      <c r="O101" s="208" t="inlineStr">
        <is>
          <t>物探</t>
        </is>
      </c>
      <c r="P101" s="315" t="n"/>
      <c r="Q101" s="314">
        <f>N101*P101</f>
        <v/>
      </c>
      <c r="R101" s="314">
        <f>N101+Q101</f>
        <v/>
      </c>
      <c r="S101" s="312" t="inlineStr">
        <is>
          <t xml:space="preserve"> 表7.2-1</t>
        </is>
      </c>
      <c r="T101" s="312" t="n"/>
      <c r="U101" s="104" t="n"/>
      <c r="W101" s="154" t="n"/>
      <c r="X101" s="323" t="n">
        <v>130</v>
      </c>
      <c r="Y101" s="111" t="n"/>
      <c r="Z101" s="118" t="n">
        <v>1</v>
      </c>
      <c r="AA101" s="111" t="n"/>
      <c r="AB101" s="320">
        <f>VLOOKUP(O101,{"甲级","1.2";"乙级","1";"丙级","0.8";"物探","0.22"},2,0)</f>
        <v/>
      </c>
      <c r="AC101" s="111" t="n"/>
      <c r="AD101" s="317">
        <f>H101+AG101-X101</f>
        <v/>
      </c>
      <c r="AE101" s="317">
        <f>M101+AH101-Z101</f>
        <v/>
      </c>
      <c r="AF101" s="317">
        <f>P101+AI101-AB101</f>
        <v/>
      </c>
      <c r="AG101" s="131" t="n"/>
      <c r="AH101" s="131" t="n"/>
      <c r="AI101" s="131" t="n"/>
      <c r="AJ101" s="131" t="n"/>
      <c r="AK101" s="131" t="n"/>
      <c r="AL101" s="131" t="n"/>
      <c r="AM101" s="131" t="n"/>
      <c r="AN101" s="131" t="n"/>
      <c r="AO101" s="131" t="n"/>
    </row>
    <row r="102" ht="24" customFormat="1" customHeight="1" s="47">
      <c r="A102" s="208" t="n">
        <v>99</v>
      </c>
      <c r="B102" s="321" t="n"/>
      <c r="C102" s="307" t="n"/>
      <c r="D102" s="307" t="n"/>
      <c r="E102" s="307" t="n"/>
      <c r="F102" s="216" t="inlineStr">
        <is>
          <t>横穿</t>
        </is>
      </c>
      <c r="G102" s="312" t="inlineStr">
        <is>
          <t>检波点·炮</t>
        </is>
      </c>
      <c r="H102" s="328" t="n"/>
      <c r="I102" s="312" t="n"/>
      <c r="J102" s="312" t="n"/>
      <c r="K102" s="312" t="n"/>
      <c r="L102" s="312" t="n"/>
      <c r="M102" s="313" t="n"/>
      <c r="N102" s="314">
        <f>H102*I102*M102</f>
        <v/>
      </c>
      <c r="O102" s="208" t="inlineStr">
        <is>
          <t>物探</t>
        </is>
      </c>
      <c r="P102" s="315" t="n"/>
      <c r="Q102" s="314">
        <f>N102*P102</f>
        <v/>
      </c>
      <c r="R102" s="314">
        <f>N102+Q102</f>
        <v/>
      </c>
      <c r="S102" s="312" t="inlineStr">
        <is>
          <t xml:space="preserve"> 表7.2-1</t>
        </is>
      </c>
      <c r="T102" s="312" t="n"/>
      <c r="U102" s="104" t="n"/>
      <c r="W102" s="154" t="n"/>
      <c r="X102" s="323" t="n">
        <v>260</v>
      </c>
      <c r="Y102" s="111" t="n"/>
      <c r="Z102" s="118" t="n">
        <v>1</v>
      </c>
      <c r="AA102" s="111" t="n"/>
      <c r="AB102" s="320">
        <f>VLOOKUP(O102,{"甲级","1.2";"乙级","1";"丙级","0.8";"物探","0.22"},2,0)</f>
        <v/>
      </c>
      <c r="AC102" s="111" t="n"/>
      <c r="AD102" s="317">
        <f>H102+AG102-X102</f>
        <v/>
      </c>
      <c r="AE102" s="317">
        <f>M102+AH102-Z102</f>
        <v/>
      </c>
      <c r="AF102" s="317">
        <f>P102+AI102-AB102</f>
        <v/>
      </c>
      <c r="AG102" s="131" t="n"/>
      <c r="AH102" s="131" t="n"/>
      <c r="AI102" s="131" t="n"/>
      <c r="AJ102" s="131" t="n"/>
      <c r="AK102" s="131" t="n"/>
      <c r="AL102" s="131" t="n"/>
      <c r="AM102" s="131" t="n"/>
      <c r="AN102" s="131" t="n"/>
      <c r="AO102" s="131" t="n"/>
    </row>
    <row r="103" ht="14.4" customFormat="1" customHeight="1" s="47">
      <c r="A103" s="208" t="n">
        <v>100</v>
      </c>
      <c r="B103" s="321" t="n"/>
      <c r="C103" s="220" t="inlineStr">
        <is>
          <t>面波勘探</t>
        </is>
      </c>
      <c r="D103" s="213" t="inlineStr">
        <is>
          <t>探测深度D(m)</t>
        </is>
      </c>
      <c r="E103" s="216" t="inlineStr">
        <is>
          <t>D≤10</t>
        </is>
      </c>
      <c r="F103" s="216" t="n"/>
      <c r="G103" s="312" t="inlineStr">
        <is>
          <t>点</t>
        </is>
      </c>
      <c r="H103" s="328" t="n"/>
      <c r="I103" s="312" t="n"/>
      <c r="J103" s="312" t="n"/>
      <c r="K103" s="312" t="n"/>
      <c r="L103" s="312" t="n"/>
      <c r="M103" s="313" t="n"/>
      <c r="N103" s="314">
        <f>H103*I103*M103</f>
        <v/>
      </c>
      <c r="O103" s="208" t="inlineStr">
        <is>
          <t>物探</t>
        </is>
      </c>
      <c r="P103" s="315" t="n"/>
      <c r="Q103" s="314">
        <f>N103*P103</f>
        <v/>
      </c>
      <c r="R103" s="314">
        <f>N103+Q103</f>
        <v/>
      </c>
      <c r="S103" s="312" t="inlineStr">
        <is>
          <t xml:space="preserve"> 表7.2-1</t>
        </is>
      </c>
      <c r="T103" s="312" t="n"/>
      <c r="U103" s="104" t="n"/>
      <c r="W103" s="154" t="n"/>
      <c r="X103" s="323" t="n">
        <v>1800</v>
      </c>
      <c r="Y103" s="111" t="n"/>
      <c r="Z103" s="118" t="n">
        <v>1</v>
      </c>
      <c r="AA103" s="111" t="n"/>
      <c r="AB103" s="320">
        <f>VLOOKUP(O103,{"甲级","1.2";"乙级","1";"丙级","0.8";"物探","0.22"},2,0)</f>
        <v/>
      </c>
      <c r="AC103" s="111" t="n"/>
      <c r="AD103" s="317">
        <f>H103+AG103-X103</f>
        <v/>
      </c>
      <c r="AE103" s="317">
        <f>M103+AH103-Z103</f>
        <v/>
      </c>
      <c r="AF103" s="317">
        <f>P103+AI103-AB103</f>
        <v/>
      </c>
      <c r="AG103" s="131" t="n"/>
      <c r="AH103" s="131" t="n"/>
      <c r="AI103" s="131" t="n"/>
      <c r="AJ103" s="131" t="n"/>
      <c r="AK103" s="131" t="n"/>
      <c r="AL103" s="131" t="n"/>
      <c r="AM103" s="131" t="n"/>
      <c r="AN103" s="131" t="n"/>
      <c r="AO103" s="131" t="n"/>
    </row>
    <row r="104" ht="14.4" customFormat="1" customHeight="1" s="47">
      <c r="A104" s="208" t="n">
        <v>101</v>
      </c>
      <c r="B104" s="321" t="n"/>
      <c r="C104" s="321" t="n"/>
      <c r="D104" s="321" t="n"/>
      <c r="E104" s="216" t="inlineStr">
        <is>
          <t>10＜D≤20</t>
        </is>
      </c>
      <c r="F104" s="216" t="n"/>
      <c r="G104" s="312" t="inlineStr">
        <is>
          <t>点</t>
        </is>
      </c>
      <c r="H104" s="328" t="n"/>
      <c r="I104" s="312" t="n"/>
      <c r="J104" s="312" t="n"/>
      <c r="K104" s="312" t="n"/>
      <c r="L104" s="312" t="n"/>
      <c r="M104" s="313" t="n"/>
      <c r="N104" s="314">
        <f>H104*I104*M104</f>
        <v/>
      </c>
      <c r="O104" s="208" t="inlineStr">
        <is>
          <t>物探</t>
        </is>
      </c>
      <c r="P104" s="315" t="n"/>
      <c r="Q104" s="314">
        <f>N104*P104</f>
        <v/>
      </c>
      <c r="R104" s="314">
        <f>N104+Q104</f>
        <v/>
      </c>
      <c r="S104" s="312" t="inlineStr">
        <is>
          <t xml:space="preserve"> 表7.2-1</t>
        </is>
      </c>
      <c r="T104" s="312" t="n"/>
      <c r="U104" s="104" t="n"/>
      <c r="W104" s="154" t="n"/>
      <c r="X104" s="323" t="n">
        <v>2520</v>
      </c>
      <c r="Y104" s="111" t="n"/>
      <c r="Z104" s="118" t="n">
        <v>1</v>
      </c>
      <c r="AA104" s="111" t="n"/>
      <c r="AB104" s="320">
        <f>VLOOKUP(O104,{"甲级","1.2";"乙级","1";"丙级","0.8";"物探","0.22"},2,0)</f>
        <v/>
      </c>
      <c r="AC104" s="111" t="n"/>
      <c r="AD104" s="317">
        <f>H104+AG104-X104</f>
        <v/>
      </c>
      <c r="AE104" s="317">
        <f>M104+AH104-Z104</f>
        <v/>
      </c>
      <c r="AF104" s="317">
        <f>P104+AI104-AB104</f>
        <v/>
      </c>
      <c r="AG104" s="131" t="n"/>
      <c r="AH104" s="131" t="n"/>
      <c r="AI104" s="131" t="n"/>
      <c r="AJ104" s="131" t="n"/>
      <c r="AK104" s="131" t="n"/>
      <c r="AL104" s="131" t="n"/>
      <c r="AM104" s="131" t="n"/>
      <c r="AN104" s="131" t="n"/>
      <c r="AO104" s="131" t="n"/>
    </row>
    <row r="105" ht="14.4" customFormat="1" customHeight="1" s="47">
      <c r="A105" s="208" t="n">
        <v>102</v>
      </c>
      <c r="B105" s="321" t="n"/>
      <c r="C105" s="321" t="n"/>
      <c r="D105" s="321" t="n"/>
      <c r="E105" s="216" t="inlineStr">
        <is>
          <t>20＜D≤30</t>
        </is>
      </c>
      <c r="F105" s="216" t="n"/>
      <c r="G105" s="312" t="inlineStr">
        <is>
          <t>点</t>
        </is>
      </c>
      <c r="H105" s="328" t="n"/>
      <c r="I105" s="312" t="n"/>
      <c r="J105" s="312" t="n"/>
      <c r="K105" s="312" t="n"/>
      <c r="L105" s="312" t="n"/>
      <c r="M105" s="313" t="n"/>
      <c r="N105" s="314">
        <f>H105*I105*M105</f>
        <v/>
      </c>
      <c r="O105" s="208" t="inlineStr">
        <is>
          <t>物探</t>
        </is>
      </c>
      <c r="P105" s="315" t="n"/>
      <c r="Q105" s="314">
        <f>N105*P105</f>
        <v/>
      </c>
      <c r="R105" s="314">
        <f>N105+Q105</f>
        <v/>
      </c>
      <c r="S105" s="312" t="inlineStr">
        <is>
          <t xml:space="preserve"> 表7.2-1</t>
        </is>
      </c>
      <c r="T105" s="312" t="n"/>
      <c r="U105" s="104" t="n"/>
      <c r="W105" s="154" t="n"/>
      <c r="X105" s="323" t="n">
        <v>3240</v>
      </c>
      <c r="Y105" s="111" t="n"/>
      <c r="Z105" s="118" t="n">
        <v>1</v>
      </c>
      <c r="AA105" s="111" t="n"/>
      <c r="AB105" s="320">
        <f>VLOOKUP(O105,{"甲级","1.2";"乙级","1";"丙级","0.8";"物探","0.22"},2,0)</f>
        <v/>
      </c>
      <c r="AC105" s="111" t="n"/>
      <c r="AD105" s="317">
        <f>H105+AG105-X105</f>
        <v/>
      </c>
      <c r="AE105" s="317">
        <f>M105+AH105-Z105</f>
        <v/>
      </c>
      <c r="AF105" s="317">
        <f>P105+AI105-AB105</f>
        <v/>
      </c>
      <c r="AG105" s="131" t="n"/>
      <c r="AH105" s="131" t="n"/>
      <c r="AI105" s="131" t="n"/>
      <c r="AJ105" s="131" t="n"/>
      <c r="AK105" s="131" t="n"/>
      <c r="AL105" s="131" t="n"/>
      <c r="AM105" s="131" t="n"/>
      <c r="AN105" s="131" t="n"/>
      <c r="AO105" s="131" t="n"/>
    </row>
    <row r="106" ht="14.4" customFormat="1" customHeight="1" s="47">
      <c r="A106" s="208" t="n">
        <v>103</v>
      </c>
      <c r="B106" s="321" t="n"/>
      <c r="C106" s="321" t="n"/>
      <c r="D106" s="321" t="n"/>
      <c r="E106" s="216" t="inlineStr">
        <is>
          <t>30＜D≤50</t>
        </is>
      </c>
      <c r="F106" s="216" t="n"/>
      <c r="G106" s="312" t="inlineStr">
        <is>
          <t>点</t>
        </is>
      </c>
      <c r="H106" s="328" t="n"/>
      <c r="I106" s="312" t="n"/>
      <c r="J106" s="312" t="n"/>
      <c r="K106" s="312" t="n"/>
      <c r="L106" s="312" t="n"/>
      <c r="M106" s="313" t="n"/>
      <c r="N106" s="314">
        <f>H106*I106*M106</f>
        <v/>
      </c>
      <c r="O106" s="208" t="inlineStr">
        <is>
          <t>物探</t>
        </is>
      </c>
      <c r="P106" s="315" t="n"/>
      <c r="Q106" s="314">
        <f>N106*P106</f>
        <v/>
      </c>
      <c r="R106" s="314">
        <f>N106+Q106</f>
        <v/>
      </c>
      <c r="S106" s="312" t="inlineStr">
        <is>
          <t xml:space="preserve"> 表7.2-1</t>
        </is>
      </c>
      <c r="T106" s="312" t="n"/>
      <c r="U106" s="104" t="n"/>
      <c r="W106" s="154" t="n"/>
      <c r="X106" s="323" t="n">
        <v>4320</v>
      </c>
      <c r="Y106" s="111" t="n"/>
      <c r="Z106" s="118" t="n">
        <v>1</v>
      </c>
      <c r="AA106" s="111" t="n"/>
      <c r="AB106" s="320">
        <f>VLOOKUP(O106,{"甲级","1.2";"乙级","1";"丙级","0.8";"物探","0.22"},2,0)</f>
        <v/>
      </c>
      <c r="AC106" s="111" t="n"/>
      <c r="AD106" s="317">
        <f>H106+AG106-X106</f>
        <v/>
      </c>
      <c r="AE106" s="317">
        <f>M106+AH106-Z106</f>
        <v/>
      </c>
      <c r="AF106" s="317">
        <f>P106+AI106-AB106</f>
        <v/>
      </c>
      <c r="AG106" s="131" t="n"/>
      <c r="AH106" s="131" t="n"/>
      <c r="AI106" s="131" t="n"/>
      <c r="AJ106" s="131" t="n"/>
      <c r="AK106" s="131" t="n"/>
      <c r="AL106" s="131" t="n"/>
      <c r="AM106" s="131" t="n"/>
      <c r="AN106" s="131" t="n"/>
      <c r="AO106" s="131" t="n"/>
    </row>
    <row r="107" ht="14.4" customFormat="1" customHeight="1" s="47">
      <c r="A107" s="208" t="n">
        <v>104</v>
      </c>
      <c r="B107" s="321" t="n"/>
      <c r="C107" s="307" t="n"/>
      <c r="D107" s="307" t="n"/>
      <c r="E107" s="216" t="inlineStr">
        <is>
          <t>D＞50</t>
        </is>
      </c>
      <c r="F107" s="216" t="n"/>
      <c r="G107" s="312" t="inlineStr">
        <is>
          <t>点</t>
        </is>
      </c>
      <c r="H107" s="328" t="n"/>
      <c r="I107" s="312" t="n"/>
      <c r="J107" s="312" t="n"/>
      <c r="K107" s="312" t="n"/>
      <c r="L107" s="312" t="n"/>
      <c r="M107" s="313" t="n"/>
      <c r="N107" s="314">
        <f>H107*I107*M107</f>
        <v/>
      </c>
      <c r="O107" s="208" t="inlineStr">
        <is>
          <t>物探</t>
        </is>
      </c>
      <c r="P107" s="315" t="n"/>
      <c r="Q107" s="314">
        <f>N107*P107</f>
        <v/>
      </c>
      <c r="R107" s="314">
        <f>N107+Q107</f>
        <v/>
      </c>
      <c r="S107" s="312" t="inlineStr">
        <is>
          <t xml:space="preserve"> 表7.2-1</t>
        </is>
      </c>
      <c r="T107" s="312" t="n"/>
      <c r="U107" s="104" t="n"/>
      <c r="W107" s="154" t="n"/>
      <c r="X107" s="323" t="n">
        <v>5760</v>
      </c>
      <c r="Y107" s="111" t="n"/>
      <c r="Z107" s="118" t="n">
        <v>1</v>
      </c>
      <c r="AA107" s="111" t="n"/>
      <c r="AB107" s="320">
        <f>VLOOKUP(O107,{"甲级","1.2";"乙级","1";"丙级","0.8";"物探","0.22"},2,0)</f>
        <v/>
      </c>
      <c r="AC107" s="111" t="n"/>
      <c r="AD107" s="317">
        <f>H107+AG107-X107</f>
        <v/>
      </c>
      <c r="AE107" s="317">
        <f>M107+AH107-Z107</f>
        <v/>
      </c>
      <c r="AF107" s="317">
        <f>P107+AI107-AB107</f>
        <v/>
      </c>
      <c r="AG107" s="131" t="n"/>
      <c r="AH107" s="131" t="n"/>
      <c r="AI107" s="131" t="n"/>
      <c r="AJ107" s="131" t="n"/>
      <c r="AK107" s="131" t="n"/>
      <c r="AL107" s="131" t="n"/>
      <c r="AM107" s="131" t="n"/>
      <c r="AN107" s="131" t="n"/>
      <c r="AO107" s="131" t="n"/>
    </row>
    <row r="108" ht="14.4" customFormat="1" customHeight="1" s="47">
      <c r="A108" s="208" t="n">
        <v>105</v>
      </c>
      <c r="B108" s="321" t="n"/>
      <c r="C108" s="220" t="inlineStr">
        <is>
          <t>高密度电法</t>
        </is>
      </c>
      <c r="D108" s="213" t="inlineStr">
        <is>
          <t>电极距L（m）</t>
        </is>
      </c>
      <c r="E108" s="216" t="inlineStr">
        <is>
          <t>L≤100</t>
        </is>
      </c>
      <c r="F108" s="216" t="inlineStr">
        <is>
          <t>四级法</t>
        </is>
      </c>
      <c r="G108" s="312" t="inlineStr">
        <is>
          <t>点</t>
        </is>
      </c>
      <c r="H108" s="328" t="n"/>
      <c r="I108" s="312" t="n">
        <v>4810</v>
      </c>
      <c r="J108" s="216" t="n"/>
      <c r="K108" s="312" t="n"/>
      <c r="L108" s="216" t="n"/>
      <c r="M108" s="313" t="n"/>
      <c r="N108" s="314">
        <f>H108*I108*M108</f>
        <v/>
      </c>
      <c r="O108" s="208" t="inlineStr">
        <is>
          <t>物探</t>
        </is>
      </c>
      <c r="P108" s="315" t="n"/>
      <c r="Q108" s="314">
        <f>N108*P108</f>
        <v/>
      </c>
      <c r="R108" s="314">
        <f>N108+Q108</f>
        <v/>
      </c>
      <c r="S108" s="312" t="inlineStr">
        <is>
          <t xml:space="preserve"> 表7.2-1</t>
        </is>
      </c>
      <c r="T108" s="312" t="n"/>
      <c r="U108" s="104" t="n"/>
      <c r="W108" s="154" t="n"/>
      <c r="X108" s="323">
        <f>30*0.8</f>
        <v/>
      </c>
      <c r="Y108" s="111" t="n"/>
      <c r="Z108" s="118" t="n">
        <v>1</v>
      </c>
      <c r="AA108" s="111" t="n"/>
      <c r="AB108" s="320">
        <f>VLOOKUP(O108,{"甲级","1.2";"乙级","1";"丙级","0.8";"物探","0.22"},2,0)</f>
        <v/>
      </c>
      <c r="AC108" s="111" t="n"/>
      <c r="AD108" s="317">
        <f>H108+AG108-X108</f>
        <v/>
      </c>
      <c r="AE108" s="317">
        <f>M108+AH108-Z108</f>
        <v/>
      </c>
      <c r="AF108" s="317">
        <f>P108+AI108-AB108</f>
        <v/>
      </c>
      <c r="AG108" s="131" t="n"/>
      <c r="AH108" s="131" t="n"/>
      <c r="AI108" s="131" t="n"/>
      <c r="AJ108" s="131" t="n"/>
      <c r="AK108" s="131" t="n"/>
      <c r="AL108" s="131" t="n"/>
      <c r="AM108" s="131" t="n"/>
      <c r="AN108" s="131" t="n"/>
      <c r="AO108" s="131" t="n"/>
    </row>
    <row r="109" ht="14.4" customFormat="1" customHeight="1" s="47">
      <c r="A109" s="208" t="n">
        <v>106</v>
      </c>
      <c r="B109" s="321" t="n"/>
      <c r="C109" s="321" t="n"/>
      <c r="D109" s="321" t="n"/>
      <c r="E109" s="216" t="inlineStr">
        <is>
          <t>100＜L≤200</t>
        </is>
      </c>
      <c r="F109" s="216" t="inlineStr">
        <is>
          <t>四级法</t>
        </is>
      </c>
      <c r="G109" s="312" t="inlineStr">
        <is>
          <t>点</t>
        </is>
      </c>
      <c r="H109" s="328" t="n"/>
      <c r="I109" s="312" t="n"/>
      <c r="J109" s="216" t="n"/>
      <c r="K109" s="312" t="n"/>
      <c r="L109" s="216" t="n"/>
      <c r="M109" s="313" t="n"/>
      <c r="N109" s="314">
        <f>H109*I109*M109</f>
        <v/>
      </c>
      <c r="O109" s="208" t="inlineStr">
        <is>
          <t>物探</t>
        </is>
      </c>
      <c r="P109" s="315" t="n"/>
      <c r="Q109" s="314">
        <f>N109*P109</f>
        <v/>
      </c>
      <c r="R109" s="314">
        <f>N109+Q109</f>
        <v/>
      </c>
      <c r="S109" s="312" t="inlineStr">
        <is>
          <t xml:space="preserve"> 表7.2-1</t>
        </is>
      </c>
      <c r="T109" s="312" t="n"/>
      <c r="U109" s="104" t="n"/>
      <c r="W109" s="154" t="n"/>
      <c r="X109" s="323" t="n">
        <v>40</v>
      </c>
      <c r="Y109" s="111" t="n"/>
      <c r="Z109" s="118" t="n">
        <v>1</v>
      </c>
      <c r="AA109" s="111" t="n"/>
      <c r="AB109" s="320">
        <f>VLOOKUP(O109,{"甲级","1.2";"乙级","1";"丙级","0.8";"物探","0.22"},2,0)</f>
        <v/>
      </c>
      <c r="AC109" s="111" t="n"/>
      <c r="AD109" s="317">
        <f>H109+AG109-X109</f>
        <v/>
      </c>
      <c r="AE109" s="317">
        <f>M109+AH109-Z109</f>
        <v/>
      </c>
      <c r="AF109" s="317">
        <f>P109+AI109-AB109</f>
        <v/>
      </c>
      <c r="AG109" s="131" t="n"/>
      <c r="AH109" s="131" t="n"/>
      <c r="AI109" s="131" t="n"/>
      <c r="AJ109" s="131" t="n"/>
      <c r="AK109" s="131" t="n"/>
      <c r="AL109" s="131" t="n"/>
      <c r="AM109" s="131" t="n"/>
      <c r="AN109" s="131" t="n"/>
      <c r="AO109" s="131" t="n"/>
    </row>
    <row r="110" ht="14.4" customFormat="1" customHeight="1" s="47">
      <c r="A110" s="208" t="n">
        <v>107</v>
      </c>
      <c r="B110" s="321" t="n"/>
      <c r="C110" s="321" t="n"/>
      <c r="D110" s="321" t="n"/>
      <c r="E110" s="216" t="inlineStr">
        <is>
          <t>200＜L≤400</t>
        </is>
      </c>
      <c r="F110" s="216" t="inlineStr">
        <is>
          <t>四级法</t>
        </is>
      </c>
      <c r="G110" s="312" t="inlineStr">
        <is>
          <t>点</t>
        </is>
      </c>
      <c r="H110" s="328" t="n"/>
      <c r="I110" s="312" t="n"/>
      <c r="J110" s="216" t="n"/>
      <c r="K110" s="312" t="n"/>
      <c r="L110" s="216" t="n"/>
      <c r="M110" s="313" t="n"/>
      <c r="N110" s="314">
        <f>H110*I110*M110</f>
        <v/>
      </c>
      <c r="O110" s="208" t="inlineStr">
        <is>
          <t>物探</t>
        </is>
      </c>
      <c r="P110" s="315" t="n"/>
      <c r="Q110" s="314">
        <f>N110*P110</f>
        <v/>
      </c>
      <c r="R110" s="314">
        <f>N110+Q110</f>
        <v/>
      </c>
      <c r="S110" s="312" t="inlineStr">
        <is>
          <t xml:space="preserve"> 表7.2-1</t>
        </is>
      </c>
      <c r="T110" s="312" t="n"/>
      <c r="U110" s="104" t="n"/>
      <c r="W110" s="154" t="n"/>
      <c r="X110" s="323" t="n">
        <v>50</v>
      </c>
      <c r="Y110" s="111" t="n"/>
      <c r="Z110" s="118" t="n">
        <v>1</v>
      </c>
      <c r="AA110" s="111" t="n"/>
      <c r="AB110" s="320">
        <f>VLOOKUP(O110,{"甲级","1.2";"乙级","1";"丙级","0.8";"物探","0.22"},2,0)</f>
        <v/>
      </c>
      <c r="AC110" s="111" t="n"/>
      <c r="AD110" s="317">
        <f>H110+AG110-X110</f>
        <v/>
      </c>
      <c r="AE110" s="317">
        <f>M110+AH110-Z110</f>
        <v/>
      </c>
      <c r="AF110" s="317">
        <f>P110+AI110-AB110</f>
        <v/>
      </c>
      <c r="AG110" s="131" t="n"/>
      <c r="AH110" s="131" t="n"/>
      <c r="AI110" s="131" t="n"/>
      <c r="AJ110" s="131" t="n"/>
      <c r="AK110" s="131" t="n"/>
      <c r="AL110" s="131" t="n"/>
      <c r="AM110" s="131" t="n"/>
      <c r="AN110" s="131" t="n"/>
      <c r="AO110" s="131" t="n"/>
    </row>
    <row r="111" ht="14.4" customFormat="1" customHeight="1" s="47">
      <c r="A111" s="208" t="n">
        <v>108</v>
      </c>
      <c r="B111" s="321" t="n"/>
      <c r="C111" s="307" t="n"/>
      <c r="D111" s="307" t="n"/>
      <c r="E111" s="216" t="inlineStr">
        <is>
          <t>400＜L≤600</t>
        </is>
      </c>
      <c r="F111" s="216" t="inlineStr">
        <is>
          <t>四级法</t>
        </is>
      </c>
      <c r="G111" s="312" t="inlineStr">
        <is>
          <t>点</t>
        </is>
      </c>
      <c r="H111" s="328" t="n"/>
      <c r="I111" s="312" t="n"/>
      <c r="J111" s="216" t="n"/>
      <c r="K111" s="312" t="n"/>
      <c r="L111" s="216" t="n"/>
      <c r="M111" s="313" t="n"/>
      <c r="N111" s="314">
        <f>H111*I111*M111</f>
        <v/>
      </c>
      <c r="O111" s="208" t="inlineStr">
        <is>
          <t>物探</t>
        </is>
      </c>
      <c r="P111" s="315" t="n"/>
      <c r="Q111" s="314">
        <f>N111*P111</f>
        <v/>
      </c>
      <c r="R111" s="314">
        <f>N111+Q111</f>
        <v/>
      </c>
      <c r="S111" s="312" t="inlineStr">
        <is>
          <t xml:space="preserve"> 表7.2-1</t>
        </is>
      </c>
      <c r="T111" s="312" t="n"/>
      <c r="U111" s="104" t="n"/>
      <c r="W111" s="154" t="n"/>
      <c r="X111" s="323" t="n">
        <v>60</v>
      </c>
      <c r="Y111" s="111" t="n"/>
      <c r="Z111" s="118" t="n">
        <v>1</v>
      </c>
      <c r="AA111" s="111" t="n"/>
      <c r="AB111" s="320">
        <f>VLOOKUP(O111,{"甲级","1.2";"乙级","1";"丙级","0.8";"物探","0.22"},2,0)</f>
        <v/>
      </c>
      <c r="AC111" s="111" t="n"/>
      <c r="AD111" s="317">
        <f>H111+AG111-X111</f>
        <v/>
      </c>
      <c r="AE111" s="317">
        <f>M111+AH111-Z111</f>
        <v/>
      </c>
      <c r="AF111" s="317">
        <f>P111+AI111-AB111</f>
        <v/>
      </c>
      <c r="AG111" s="131" t="n"/>
      <c r="AH111" s="131" t="n"/>
      <c r="AI111" s="131" t="n"/>
      <c r="AJ111" s="131" t="n"/>
      <c r="AK111" s="131" t="n"/>
      <c r="AL111" s="131" t="n"/>
      <c r="AM111" s="131" t="n"/>
      <c r="AN111" s="131" t="n"/>
      <c r="AO111" s="131" t="n"/>
    </row>
    <row r="112" ht="48" customFormat="1" customHeight="1" s="47">
      <c r="A112" s="208" t="n">
        <v>109</v>
      </c>
      <c r="B112" s="321" t="n"/>
      <c r="C112" s="59" t="inlineStr">
        <is>
          <t>高密度电法</t>
        </is>
      </c>
      <c r="D112" s="303" t="n"/>
      <c r="E112" s="303" t="n"/>
      <c r="F112" s="304" t="n"/>
      <c r="G112" s="312" t="inlineStr">
        <is>
          <t>km</t>
        </is>
      </c>
      <c r="H112" s="328" t="n"/>
      <c r="I112" s="312" t="n"/>
      <c r="J112" s="216" t="n"/>
      <c r="K112" s="312" t="n"/>
      <c r="L112" s="216" t="n"/>
      <c r="M112" s="313" t="n"/>
      <c r="N112" s="314">
        <f>H112*I112*M112</f>
        <v/>
      </c>
      <c r="O112" s="208" t="inlineStr">
        <is>
          <t>物探</t>
        </is>
      </c>
      <c r="P112" s="315" t="n"/>
      <c r="Q112" s="314">
        <f>N112*P112</f>
        <v/>
      </c>
      <c r="R112" s="314">
        <f>N112+Q112</f>
        <v/>
      </c>
      <c r="S112" s="312" t="inlineStr">
        <is>
          <t>工程勘察服务成本要素信息（2022版）</t>
        </is>
      </c>
      <c r="T112" s="312" t="n"/>
      <c r="U112" s="104" t="n"/>
      <c r="W112" s="154" t="n"/>
      <c r="X112" s="323" t="n">
        <v>26000</v>
      </c>
      <c r="Y112" s="111" t="n"/>
      <c r="Z112" s="118" t="n">
        <v>1.3</v>
      </c>
      <c r="AA112" s="111" t="n"/>
      <c r="AB112" s="316" t="n">
        <v>1</v>
      </c>
      <c r="AC112" s="122" t="inlineStr">
        <is>
          <t>【第一层】【系数】要素1：工程物探。高密度电法经验系数：1.0</t>
        </is>
      </c>
      <c r="AD112" s="317">
        <f>H112+AG112-X112</f>
        <v/>
      </c>
      <c r="AE112" s="317">
        <f>M112+AH112-Z112</f>
        <v/>
      </c>
      <c r="AF112" s="317">
        <f>P112+AI112-AB112</f>
        <v/>
      </c>
      <c r="AG112" s="131" t="n"/>
      <c r="AH112" s="131" t="n"/>
      <c r="AI112" s="131" t="n"/>
      <c r="AJ112" s="131" t="n"/>
      <c r="AK112" s="131" t="n"/>
      <c r="AL112" s="131" t="n"/>
      <c r="AM112" s="131" t="n"/>
      <c r="AN112" s="131" t="n"/>
      <c r="AO112" s="131" t="n"/>
    </row>
    <row r="113" ht="14.4" customFormat="1" customHeight="1" s="47">
      <c r="A113" s="208" t="n">
        <v>110</v>
      </c>
      <c r="B113" s="321" t="n"/>
      <c r="C113" s="209" t="inlineStr">
        <is>
          <t>声频大地、甚低频电磁法</t>
        </is>
      </c>
      <c r="D113" s="210" t="inlineStr">
        <is>
          <t>测点距L(m)</t>
        </is>
      </c>
      <c r="E113" s="216" t="inlineStr">
        <is>
          <t>L＜10</t>
        </is>
      </c>
      <c r="F113" s="208" t="n"/>
      <c r="G113" s="312" t="inlineStr">
        <is>
          <t>点</t>
        </is>
      </c>
      <c r="H113" s="318" t="n"/>
      <c r="I113" s="312" t="n"/>
      <c r="J113" s="216" t="n"/>
      <c r="K113" s="312" t="n"/>
      <c r="L113" s="216" t="n"/>
      <c r="M113" s="313" t="n"/>
      <c r="N113" s="314">
        <f>H113*I113*M113</f>
        <v/>
      </c>
      <c r="O113" s="208" t="inlineStr">
        <is>
          <t>物探</t>
        </is>
      </c>
      <c r="P113" s="315" t="n"/>
      <c r="Q113" s="314">
        <f>N113*P113</f>
        <v/>
      </c>
      <c r="R113" s="314">
        <f>N113+Q113</f>
        <v/>
      </c>
      <c r="S113" s="312" t="inlineStr">
        <is>
          <t xml:space="preserve"> 表7.2-1</t>
        </is>
      </c>
      <c r="T113" s="312" t="n"/>
      <c r="U113" s="104" t="n"/>
      <c r="W113" s="154" t="n"/>
      <c r="X113" s="323" t="n">
        <v>12</v>
      </c>
      <c r="Y113" s="111" t="n"/>
      <c r="Z113" s="118" t="n">
        <v>1</v>
      </c>
      <c r="AA113" s="111" t="n"/>
      <c r="AB113" s="320">
        <f>VLOOKUP(O113,{"甲级","1.2";"乙级","1";"丙级","0.8";"物探","0.22"},2,0)</f>
        <v/>
      </c>
      <c r="AC113" s="111" t="n"/>
      <c r="AD113" s="317">
        <f>H113+AG113-X113</f>
        <v/>
      </c>
      <c r="AE113" s="317">
        <f>M113+AH113-Z113</f>
        <v/>
      </c>
      <c r="AF113" s="317">
        <f>P113+AI113-AB113</f>
        <v/>
      </c>
      <c r="AG113" s="131" t="n"/>
      <c r="AH113" s="131" t="n"/>
      <c r="AI113" s="131" t="n"/>
      <c r="AJ113" s="131" t="n"/>
      <c r="AK113" s="131" t="n"/>
      <c r="AL113" s="131" t="n"/>
      <c r="AM113" s="131" t="n"/>
      <c r="AN113" s="131" t="n"/>
      <c r="AO113" s="131" t="n"/>
    </row>
    <row r="114" ht="14.4" customFormat="1" customHeight="1" s="47">
      <c r="A114" s="208" t="n">
        <v>111</v>
      </c>
      <c r="B114" s="321" t="n"/>
      <c r="C114" s="321" t="n"/>
      <c r="D114" s="321" t="n"/>
      <c r="E114" s="216" t="inlineStr">
        <is>
          <t>10＜L≤20</t>
        </is>
      </c>
      <c r="F114" s="208" t="n"/>
      <c r="G114" s="312" t="inlineStr">
        <is>
          <t>点</t>
        </is>
      </c>
      <c r="H114" s="318" t="n"/>
      <c r="I114" s="312" t="n"/>
      <c r="J114" s="216" t="n"/>
      <c r="K114" s="312" t="n"/>
      <c r="L114" s="216" t="n"/>
      <c r="M114" s="313" t="n"/>
      <c r="N114" s="314">
        <f>H114*I114*M114</f>
        <v/>
      </c>
      <c r="O114" s="208" t="inlineStr">
        <is>
          <t>物探</t>
        </is>
      </c>
      <c r="P114" s="315" t="n"/>
      <c r="Q114" s="314">
        <f>N114*P114</f>
        <v/>
      </c>
      <c r="R114" s="314">
        <f>N114+Q114</f>
        <v/>
      </c>
      <c r="S114" s="312" t="inlineStr">
        <is>
          <t xml:space="preserve"> 表7.2-1</t>
        </is>
      </c>
      <c r="T114" s="312" t="n"/>
      <c r="U114" s="104" t="n"/>
      <c r="W114" s="154" t="n"/>
      <c r="X114" s="323" t="n">
        <v>16</v>
      </c>
      <c r="Y114" s="111" t="n"/>
      <c r="Z114" s="118" t="n">
        <v>1</v>
      </c>
      <c r="AA114" s="111" t="n"/>
      <c r="AB114" s="320">
        <f>VLOOKUP(O114,{"甲级","1.2";"乙级","1";"丙级","0.8";"物探","0.22"},2,0)</f>
        <v/>
      </c>
      <c r="AC114" s="111" t="n"/>
      <c r="AD114" s="317">
        <f>H114+AG114-X114</f>
        <v/>
      </c>
      <c r="AE114" s="317">
        <f>M114+AH114-Z114</f>
        <v/>
      </c>
      <c r="AF114" s="317">
        <f>P114+AI114-AB114</f>
        <v/>
      </c>
      <c r="AG114" s="131" t="n"/>
      <c r="AH114" s="131" t="n"/>
      <c r="AI114" s="131" t="n"/>
      <c r="AJ114" s="131" t="n"/>
      <c r="AK114" s="131" t="n"/>
      <c r="AL114" s="131" t="n"/>
      <c r="AM114" s="131" t="n"/>
      <c r="AN114" s="131" t="n"/>
      <c r="AO114" s="131" t="n"/>
    </row>
    <row r="115" ht="14.4" customFormat="1" customHeight="1" s="47">
      <c r="A115" s="208" t="n">
        <v>112</v>
      </c>
      <c r="B115" s="321" t="n"/>
      <c r="C115" s="321" t="n"/>
      <c r="D115" s="321" t="n"/>
      <c r="E115" s="216" t="inlineStr">
        <is>
          <t>20＜L≤50</t>
        </is>
      </c>
      <c r="F115" s="208" t="n"/>
      <c r="G115" s="312" t="inlineStr">
        <is>
          <t>点</t>
        </is>
      </c>
      <c r="H115" s="318" t="n"/>
      <c r="I115" s="312" t="n"/>
      <c r="J115" s="216" t="n"/>
      <c r="K115" s="312" t="n"/>
      <c r="L115" s="216" t="n"/>
      <c r="M115" s="313" t="n"/>
      <c r="N115" s="314">
        <f>H115*I115*M115</f>
        <v/>
      </c>
      <c r="O115" s="208" t="inlineStr">
        <is>
          <t>物探</t>
        </is>
      </c>
      <c r="P115" s="315" t="n"/>
      <c r="Q115" s="314">
        <f>N115*P115</f>
        <v/>
      </c>
      <c r="R115" s="314">
        <f>N115+Q115</f>
        <v/>
      </c>
      <c r="S115" s="312" t="inlineStr">
        <is>
          <t xml:space="preserve"> 表7.2-1</t>
        </is>
      </c>
      <c r="T115" s="312" t="n"/>
      <c r="U115" s="104" t="n"/>
      <c r="W115" s="154" t="n"/>
      <c r="X115" s="323" t="n">
        <v>18</v>
      </c>
      <c r="Y115" s="111" t="n"/>
      <c r="Z115" s="118" t="n">
        <v>1</v>
      </c>
      <c r="AA115" s="111" t="n"/>
      <c r="AB115" s="320">
        <f>VLOOKUP(O115,{"甲级","1.2";"乙级","1";"丙级","0.8";"物探","0.22"},2,0)</f>
        <v/>
      </c>
      <c r="AC115" s="111" t="n"/>
      <c r="AD115" s="317">
        <f>H115+AG115-X115</f>
        <v/>
      </c>
      <c r="AE115" s="317">
        <f>M115+AH115-Z115</f>
        <v/>
      </c>
      <c r="AF115" s="317">
        <f>P115+AI115-AB115</f>
        <v/>
      </c>
      <c r="AG115" s="131" t="n"/>
      <c r="AH115" s="131" t="n"/>
      <c r="AI115" s="131" t="n"/>
      <c r="AJ115" s="131" t="n"/>
      <c r="AK115" s="131" t="n"/>
      <c r="AL115" s="131" t="n"/>
      <c r="AM115" s="131" t="n"/>
      <c r="AN115" s="131" t="n"/>
      <c r="AO115" s="131" t="n"/>
    </row>
    <row r="116" ht="14.4" customFormat="1" customHeight="1" s="47">
      <c r="A116" s="208" t="n">
        <v>113</v>
      </c>
      <c r="B116" s="321" t="n"/>
      <c r="C116" s="307" t="n"/>
      <c r="D116" s="307" t="n"/>
      <c r="E116" s="216" t="inlineStr">
        <is>
          <t>L＞50</t>
        </is>
      </c>
      <c r="F116" s="208" t="n"/>
      <c r="G116" s="312" t="inlineStr">
        <is>
          <t>点</t>
        </is>
      </c>
      <c r="H116" s="318" t="n"/>
      <c r="I116" s="312" t="n"/>
      <c r="J116" s="216" t="n"/>
      <c r="K116" s="312" t="n"/>
      <c r="L116" s="216" t="n"/>
      <c r="M116" s="313" t="n"/>
      <c r="N116" s="314">
        <f>H116*I116*M116</f>
        <v/>
      </c>
      <c r="O116" s="208" t="inlineStr">
        <is>
          <t>物探</t>
        </is>
      </c>
      <c r="P116" s="315" t="n"/>
      <c r="Q116" s="314">
        <f>N116*P116</f>
        <v/>
      </c>
      <c r="R116" s="314">
        <f>N116+Q116</f>
        <v/>
      </c>
      <c r="S116" s="312" t="inlineStr">
        <is>
          <t xml:space="preserve"> 表7.2-1</t>
        </is>
      </c>
      <c r="T116" s="312" t="n"/>
      <c r="U116" s="104" t="n"/>
      <c r="W116" s="154" t="n"/>
      <c r="X116" s="323" t="n">
        <v>28</v>
      </c>
      <c r="Y116" s="111" t="n"/>
      <c r="Z116" s="118" t="n">
        <v>1</v>
      </c>
      <c r="AA116" s="111" t="n"/>
      <c r="AB116" s="320">
        <f>VLOOKUP(O116,{"甲级","1.2";"乙级","1";"丙级","0.8";"物探","0.22"},2,0)</f>
        <v/>
      </c>
      <c r="AC116" s="111" t="n"/>
      <c r="AD116" s="317">
        <f>H116+AG116-X116</f>
        <v/>
      </c>
      <c r="AE116" s="317">
        <f>M116+AH116-Z116</f>
        <v/>
      </c>
      <c r="AF116" s="317">
        <f>P116+AI116-AB116</f>
        <v/>
      </c>
      <c r="AG116" s="131" t="n"/>
      <c r="AH116" s="131" t="n"/>
      <c r="AI116" s="131" t="n"/>
      <c r="AJ116" s="131" t="n"/>
      <c r="AK116" s="131" t="n"/>
      <c r="AL116" s="131" t="n"/>
      <c r="AM116" s="131" t="n"/>
      <c r="AN116" s="131" t="n"/>
      <c r="AO116" s="131" t="n"/>
    </row>
    <row r="117" ht="84" customFormat="1" customHeight="1" s="47">
      <c r="A117" s="208" t="n">
        <v>114</v>
      </c>
      <c r="B117" s="321" t="n"/>
      <c r="C117" s="209" t="inlineStr">
        <is>
          <t>大地电磁法</t>
        </is>
      </c>
      <c r="D117" s="213" t="inlineStr">
        <is>
          <t>深度D(m)</t>
        </is>
      </c>
      <c r="E117" s="216" t="inlineStr">
        <is>
          <t>D≤3000</t>
        </is>
      </c>
      <c r="F117" s="208" t="n"/>
      <c r="G117" s="312" t="inlineStr">
        <is>
          <t>点</t>
        </is>
      </c>
      <c r="H117" s="328" t="n"/>
      <c r="I117" s="312" t="n">
        <v>360</v>
      </c>
      <c r="J117" s="216" t="n"/>
      <c r="K117" s="312" t="n"/>
      <c r="L117" s="216" t="inlineStr">
        <is>
          <t>除管线探测外，其他物探方法在地质、障碍、干扰其它条件复杂的1.2-3.0系数，线路上作业1.3系数</t>
        </is>
      </c>
      <c r="M117" s="313" t="n"/>
      <c r="N117" s="314">
        <f>H117*I117*M117</f>
        <v/>
      </c>
      <c r="O117" s="208" t="inlineStr">
        <is>
          <t>物探</t>
        </is>
      </c>
      <c r="P117" s="315" t="n"/>
      <c r="Q117" s="314">
        <f>N117*P117</f>
        <v/>
      </c>
      <c r="R117" s="314">
        <f>N117+Q117</f>
        <v/>
      </c>
      <c r="S117" s="312" t="inlineStr">
        <is>
          <t xml:space="preserve"> 表7.2-1</t>
        </is>
      </c>
      <c r="T117" s="312" t="inlineStr">
        <is>
          <t>山岭隧道地形系数1.7</t>
        </is>
      </c>
      <c r="U117" s="104" t="n"/>
      <c r="W117" s="154" t="n"/>
      <c r="X117" s="323" t="n">
        <v>2160</v>
      </c>
      <c r="Y117" s="111" t="n"/>
      <c r="Z117" s="118" t="n">
        <v>1.7</v>
      </c>
      <c r="AA117" s="111" t="n"/>
      <c r="AB117" s="320">
        <f>VLOOKUP(O117,{"甲级","1.2";"乙级","1";"丙级","0.8";"物探","0.22"},2,0)</f>
        <v/>
      </c>
      <c r="AC117" s="111" t="n"/>
      <c r="AD117" s="317">
        <f>H117+AG117-X117</f>
        <v/>
      </c>
      <c r="AE117" s="317">
        <f>M117+AH117-Z117</f>
        <v/>
      </c>
      <c r="AF117" s="317">
        <f>P117+AI117-AB117</f>
        <v/>
      </c>
      <c r="AG117" s="131" t="n"/>
      <c r="AH117" s="131" t="n"/>
      <c r="AI117" s="131" t="n"/>
      <c r="AJ117" s="131" t="n"/>
      <c r="AK117" s="131" t="n"/>
      <c r="AL117" s="131" t="n"/>
      <c r="AM117" s="131" t="n"/>
      <c r="AN117" s="131" t="n"/>
      <c r="AO117" s="131" t="n"/>
    </row>
    <row r="118" ht="14.4" customFormat="1" customHeight="1" s="47">
      <c r="A118" s="208" t="n">
        <v>115</v>
      </c>
      <c r="B118" s="321" t="n"/>
      <c r="C118" s="307" t="n"/>
      <c r="D118" s="307" t="n"/>
      <c r="E118" s="216" t="inlineStr">
        <is>
          <t>D＞3000</t>
        </is>
      </c>
      <c r="F118" s="208" t="n"/>
      <c r="G118" s="312" t="inlineStr">
        <is>
          <t>点</t>
        </is>
      </c>
      <c r="H118" s="328" t="n"/>
      <c r="I118" s="312" t="n"/>
      <c r="J118" s="216" t="n"/>
      <c r="K118" s="312" t="n"/>
      <c r="L118" s="216" t="n"/>
      <c r="M118" s="313" t="n"/>
      <c r="N118" s="314">
        <f>H118*I118*M118</f>
        <v/>
      </c>
      <c r="O118" s="208" t="inlineStr">
        <is>
          <t>物探</t>
        </is>
      </c>
      <c r="P118" s="315" t="n"/>
      <c r="Q118" s="314">
        <f>N118*P118</f>
        <v/>
      </c>
      <c r="R118" s="314">
        <f>N118+Q118</f>
        <v/>
      </c>
      <c r="S118" s="312" t="inlineStr">
        <is>
          <t xml:space="preserve"> 表7.2-1</t>
        </is>
      </c>
      <c r="T118" s="312" t="n"/>
      <c r="U118" s="104" t="n"/>
      <c r="W118" s="154" t="n"/>
      <c r="X118" s="323" t="n">
        <v>3600</v>
      </c>
      <c r="Y118" s="111" t="n"/>
      <c r="Z118" s="118" t="n">
        <v>1</v>
      </c>
      <c r="AA118" s="111" t="n"/>
      <c r="AB118" s="320">
        <f>VLOOKUP(O118,{"甲级","1.2";"乙级","1";"丙级","0.8";"物探","0.22"},2,0)</f>
        <v/>
      </c>
      <c r="AC118" s="111" t="n"/>
      <c r="AD118" s="317">
        <f>H118+AG118-X118</f>
        <v/>
      </c>
      <c r="AE118" s="317">
        <f>M118+AH118-Z118</f>
        <v/>
      </c>
      <c r="AF118" s="317">
        <f>P118+AI118-AB118</f>
        <v/>
      </c>
      <c r="AG118" s="131" t="n"/>
      <c r="AH118" s="131" t="n"/>
      <c r="AI118" s="131" t="n"/>
      <c r="AJ118" s="131" t="n"/>
      <c r="AK118" s="131" t="n"/>
      <c r="AL118" s="131" t="n"/>
      <c r="AM118" s="131" t="n"/>
      <c r="AN118" s="131" t="n"/>
      <c r="AO118" s="131" t="n"/>
    </row>
    <row r="119" ht="24" customFormat="1" customHeight="1" s="47">
      <c r="A119" s="208" t="n">
        <v>116</v>
      </c>
      <c r="B119" s="321" t="n"/>
      <c r="C119" s="209" t="inlineStr">
        <is>
          <t>层析成像（CT）</t>
        </is>
      </c>
      <c r="D119" s="216" t="inlineStr">
        <is>
          <t>弹性波</t>
        </is>
      </c>
      <c r="E119" s="304" t="n"/>
      <c r="F119" s="208" t="n"/>
      <c r="G119" s="216" t="inlineStr">
        <is>
          <t>检波点·炮</t>
        </is>
      </c>
      <c r="H119" s="328" t="n"/>
      <c r="I119" s="312" t="n"/>
      <c r="J119" s="216" t="n"/>
      <c r="K119" s="312" t="n"/>
      <c r="L119" s="216" t="n"/>
      <c r="M119" s="313" t="n"/>
      <c r="N119" s="314">
        <f>H119*I119*M119</f>
        <v/>
      </c>
      <c r="O119" s="208" t="inlineStr">
        <is>
          <t>物探</t>
        </is>
      </c>
      <c r="P119" s="315" t="n"/>
      <c r="Q119" s="314">
        <f>N119*P119</f>
        <v/>
      </c>
      <c r="R119" s="314">
        <f>N119+Q119</f>
        <v/>
      </c>
      <c r="S119" s="312" t="inlineStr">
        <is>
          <t xml:space="preserve"> 表7.2-1</t>
        </is>
      </c>
      <c r="T119" s="312" t="n"/>
      <c r="U119" s="104" t="n"/>
      <c r="W119" s="154" t="n"/>
      <c r="X119" s="323" t="n">
        <v>20</v>
      </c>
      <c r="Y119" s="111" t="n"/>
      <c r="Z119" s="118" t="n">
        <v>1</v>
      </c>
      <c r="AA119" s="111" t="n"/>
      <c r="AB119" s="320">
        <f>VLOOKUP(O119,{"甲级","1.2";"乙级","1";"丙级","0.8";"物探","0.22"},2,0)</f>
        <v/>
      </c>
      <c r="AC119" s="111" t="n"/>
      <c r="AD119" s="317">
        <f>H119+AG119-X119</f>
        <v/>
      </c>
      <c r="AE119" s="317">
        <f>M119+AH119-Z119</f>
        <v/>
      </c>
      <c r="AF119" s="317">
        <f>P119+AI119-AB119</f>
        <v/>
      </c>
      <c r="AG119" s="131" t="n"/>
      <c r="AH119" s="131" t="n"/>
      <c r="AI119" s="131" t="n"/>
      <c r="AJ119" s="131" t="n"/>
      <c r="AK119" s="131" t="n"/>
      <c r="AL119" s="131" t="n"/>
      <c r="AM119" s="131" t="n"/>
      <c r="AN119" s="131" t="n"/>
      <c r="AO119" s="131" t="n"/>
    </row>
    <row r="120" ht="14.4" customFormat="1" customHeight="1" s="47">
      <c r="A120" s="208" t="n">
        <v>117</v>
      </c>
      <c r="B120" s="321" t="n"/>
      <c r="C120" s="307" t="n"/>
      <c r="D120" s="216" t="inlineStr">
        <is>
          <t>电磁波</t>
        </is>
      </c>
      <c r="E120" s="304" t="n"/>
      <c r="F120" s="208" t="n"/>
      <c r="G120" s="216" t="inlineStr">
        <is>
          <t>射线对</t>
        </is>
      </c>
      <c r="H120" s="328" t="n"/>
      <c r="I120" s="312" t="n"/>
      <c r="J120" s="216" t="n"/>
      <c r="K120" s="312" t="n"/>
      <c r="L120" s="216" t="n"/>
      <c r="M120" s="313" t="n"/>
      <c r="N120" s="314">
        <f>H120*I120*M120</f>
        <v/>
      </c>
      <c r="O120" s="208" t="inlineStr">
        <is>
          <t>物探</t>
        </is>
      </c>
      <c r="P120" s="315" t="n"/>
      <c r="Q120" s="314">
        <f>N120*P120</f>
        <v/>
      </c>
      <c r="R120" s="314">
        <f>N120+Q120</f>
        <v/>
      </c>
      <c r="S120" s="312" t="inlineStr">
        <is>
          <t xml:space="preserve"> 表7.2-1</t>
        </is>
      </c>
      <c r="T120" s="312" t="n"/>
      <c r="U120" s="104" t="n"/>
      <c r="W120" s="154" t="n"/>
      <c r="X120" s="323" t="n">
        <v>14</v>
      </c>
      <c r="Y120" s="111" t="n"/>
      <c r="Z120" s="118" t="n">
        <v>1</v>
      </c>
      <c r="AA120" s="111" t="n"/>
      <c r="AB120" s="320">
        <f>VLOOKUP(O120,{"甲级","1.2";"乙级","1";"丙级","0.8";"物探","0.22"},2,0)</f>
        <v/>
      </c>
      <c r="AC120" s="111" t="n"/>
      <c r="AD120" s="317">
        <f>H120+AG120-X120</f>
        <v/>
      </c>
      <c r="AE120" s="317">
        <f>M120+AH120-Z120</f>
        <v/>
      </c>
      <c r="AF120" s="317">
        <f>P120+AI120-AB120</f>
        <v/>
      </c>
      <c r="AG120" s="131" t="n"/>
      <c r="AH120" s="131" t="n"/>
      <c r="AI120" s="131" t="n"/>
      <c r="AJ120" s="131" t="n"/>
      <c r="AK120" s="131" t="n"/>
      <c r="AL120" s="131" t="n"/>
      <c r="AM120" s="131" t="n"/>
      <c r="AN120" s="131" t="n"/>
      <c r="AO120" s="131" t="n"/>
    </row>
    <row r="121" ht="14.4" customFormat="1" customHeight="1" s="47">
      <c r="A121" s="208" t="n">
        <v>118</v>
      </c>
      <c r="B121" s="321" t="n"/>
      <c r="C121" s="209" t="inlineStr">
        <is>
          <t>地质雷达</t>
        </is>
      </c>
      <c r="D121" s="210" t="inlineStr">
        <is>
          <t>工作方式</t>
        </is>
      </c>
      <c r="E121" s="216" t="inlineStr">
        <is>
          <t>点测</t>
        </is>
      </c>
      <c r="F121" s="208" t="n"/>
      <c r="G121" s="216" t="inlineStr">
        <is>
          <t>点</t>
        </is>
      </c>
      <c r="H121" s="328" t="n"/>
      <c r="I121" s="312" t="n"/>
      <c r="J121" s="216" t="n"/>
      <c r="K121" s="312" t="n"/>
      <c r="L121" s="216" t="n"/>
      <c r="M121" s="313" t="n"/>
      <c r="N121" s="314">
        <f>H121*I121*M121</f>
        <v/>
      </c>
      <c r="O121" s="208" t="inlineStr">
        <is>
          <t>物探</t>
        </is>
      </c>
      <c r="P121" s="315" t="n"/>
      <c r="Q121" s="314">
        <f>N121*P121</f>
        <v/>
      </c>
      <c r="R121" s="314">
        <f>N121+Q121</f>
        <v/>
      </c>
      <c r="S121" s="312" t="inlineStr">
        <is>
          <t xml:space="preserve"> 表7.2-1</t>
        </is>
      </c>
      <c r="T121" s="312" t="n"/>
      <c r="U121" s="104" t="n"/>
      <c r="W121" s="154" t="n"/>
      <c r="X121" s="323" t="n">
        <v>20</v>
      </c>
      <c r="Y121" s="111" t="n"/>
      <c r="Z121" s="118" t="n">
        <v>1.3</v>
      </c>
      <c r="AA121" s="111" t="n"/>
      <c r="AB121" s="320">
        <f>VLOOKUP(O121,{"甲级","1.2";"乙级","1";"丙级","0.8";"物探","0.22"},2,0)</f>
        <v/>
      </c>
      <c r="AC121" s="111" t="n"/>
      <c r="AD121" s="317">
        <f>H121+AG121-X121</f>
        <v/>
      </c>
      <c r="AE121" s="317">
        <f>M121+AH121-Z121</f>
        <v/>
      </c>
      <c r="AF121" s="317">
        <f>P121+AI121-AB121</f>
        <v/>
      </c>
      <c r="AG121" s="131" t="n"/>
      <c r="AH121" s="131" t="n"/>
      <c r="AI121" s="131" t="n"/>
      <c r="AJ121" s="131" t="n"/>
      <c r="AK121" s="131" t="n"/>
      <c r="AL121" s="131" t="n"/>
      <c r="AM121" s="131" t="n"/>
      <c r="AN121" s="131" t="n"/>
      <c r="AO121" s="131" t="n"/>
    </row>
    <row r="122" ht="14.4" customFormat="1" customHeight="1" s="47">
      <c r="A122" s="208" t="n">
        <v>119</v>
      </c>
      <c r="B122" s="321" t="n"/>
      <c r="C122" s="307" t="n"/>
      <c r="D122" s="307" t="n"/>
      <c r="E122" s="216" t="inlineStr">
        <is>
          <t>连续</t>
        </is>
      </c>
      <c r="F122" s="208" t="n"/>
      <c r="G122" s="216" t="inlineStr">
        <is>
          <t>Km</t>
        </is>
      </c>
      <c r="H122" s="328" t="n"/>
      <c r="I122" s="312" t="n"/>
      <c r="J122" s="216" t="n"/>
      <c r="K122" s="312" t="n"/>
      <c r="L122" s="216" t="n"/>
      <c r="M122" s="313" t="n"/>
      <c r="N122" s="314">
        <f>H122*I122*M122</f>
        <v/>
      </c>
      <c r="O122" s="208" t="inlineStr">
        <is>
          <t>物探</t>
        </is>
      </c>
      <c r="P122" s="315" t="n"/>
      <c r="Q122" s="314">
        <f>N122*P122</f>
        <v/>
      </c>
      <c r="R122" s="314">
        <f>N122+Q122</f>
        <v/>
      </c>
      <c r="S122" s="312" t="inlineStr">
        <is>
          <t xml:space="preserve"> 表7.2-1</t>
        </is>
      </c>
      <c r="T122" s="312" t="n"/>
      <c r="U122" s="104" t="n"/>
      <c r="W122" s="154" t="n"/>
      <c r="X122" s="323" t="n">
        <v>13500</v>
      </c>
      <c r="Y122" s="111" t="n"/>
      <c r="Z122" s="118" t="n">
        <v>1.3</v>
      </c>
      <c r="AA122" s="111" t="n"/>
      <c r="AB122" s="320">
        <f>VLOOKUP(O122,{"甲级","1.2";"乙级","1";"丙级","0.8";"物探","0.22"},2,0)</f>
        <v/>
      </c>
      <c r="AC122" s="111" t="n"/>
      <c r="AD122" s="317">
        <f>H122+AG122-X122</f>
        <v/>
      </c>
      <c r="AE122" s="317">
        <f>M122+AH122-Z122</f>
        <v/>
      </c>
      <c r="AF122" s="317">
        <f>P122+AI122-AB122</f>
        <v/>
      </c>
      <c r="AG122" s="131" t="n"/>
      <c r="AH122" s="131" t="n"/>
      <c r="AI122" s="131" t="n"/>
      <c r="AJ122" s="131" t="n"/>
      <c r="AK122" s="131" t="n"/>
      <c r="AL122" s="131" t="n"/>
      <c r="AM122" s="131" t="n"/>
      <c r="AN122" s="131" t="n"/>
      <c r="AO122" s="131" t="n"/>
    </row>
    <row r="123" ht="14.4" customFormat="1" customHeight="1" s="47">
      <c r="A123" s="208" t="n">
        <v>120</v>
      </c>
      <c r="B123" s="321" t="n"/>
      <c r="C123" s="209" t="inlineStr">
        <is>
          <t>瞬变电磁</t>
        </is>
      </c>
      <c r="D123" s="213" t="inlineStr">
        <is>
          <t>外框边长（m）</t>
        </is>
      </c>
      <c r="E123" s="216" t="n">
        <v>10</v>
      </c>
      <c r="F123" s="208" t="n"/>
      <c r="G123" s="222" t="inlineStr">
        <is>
          <t>测点</t>
        </is>
      </c>
      <c r="H123" s="328" t="n"/>
      <c r="I123" s="312" t="n"/>
      <c r="J123" s="216" t="n"/>
      <c r="K123" s="312" t="n"/>
      <c r="L123" s="216" t="n"/>
      <c r="M123" s="313" t="n"/>
      <c r="N123" s="314">
        <f>H123*I123*M123</f>
        <v/>
      </c>
      <c r="O123" s="208" t="inlineStr">
        <is>
          <t>物探</t>
        </is>
      </c>
      <c r="P123" s="315" t="n"/>
      <c r="Q123" s="314">
        <f>N123*P123</f>
        <v/>
      </c>
      <c r="R123" s="314">
        <f>N123+Q123</f>
        <v/>
      </c>
      <c r="S123" s="312" t="inlineStr">
        <is>
          <t xml:space="preserve"> 表7.2-1</t>
        </is>
      </c>
      <c r="T123" s="312" t="n"/>
      <c r="U123" s="104" t="n"/>
      <c r="W123" s="154" t="n"/>
      <c r="X123" s="323" t="n">
        <v>216</v>
      </c>
      <c r="Y123" s="111" t="n"/>
      <c r="Z123" s="118" t="n">
        <v>1</v>
      </c>
      <c r="AA123" s="111" t="n"/>
      <c r="AB123" s="320">
        <f>VLOOKUP(O123,{"甲级","1.2";"乙级","1";"丙级","0.8";"物探","0.22"},2,0)</f>
        <v/>
      </c>
      <c r="AC123" s="111" t="n"/>
      <c r="AD123" s="317">
        <f>H123+AG123-X123</f>
        <v/>
      </c>
      <c r="AE123" s="317">
        <f>M123+AH123-Z123</f>
        <v/>
      </c>
      <c r="AF123" s="317">
        <f>P123+AI123-AB123</f>
        <v/>
      </c>
      <c r="AG123" s="131" t="n"/>
      <c r="AH123" s="131" t="n"/>
      <c r="AI123" s="131" t="n"/>
      <c r="AJ123" s="131" t="n"/>
      <c r="AK123" s="131" t="n"/>
      <c r="AL123" s="131" t="n"/>
      <c r="AM123" s="131" t="n"/>
      <c r="AN123" s="131" t="n"/>
      <c r="AO123" s="131" t="n"/>
    </row>
    <row r="124" ht="14.4" customFormat="1" customHeight="1" s="47">
      <c r="A124" s="208" t="n">
        <v>121</v>
      </c>
      <c r="B124" s="321" t="n"/>
      <c r="C124" s="321" t="n"/>
      <c r="D124" s="321" t="n"/>
      <c r="E124" s="216" t="n">
        <v>20</v>
      </c>
      <c r="F124" s="208" t="n"/>
      <c r="G124" s="222" t="inlineStr">
        <is>
          <t>测点</t>
        </is>
      </c>
      <c r="H124" s="328" t="n"/>
      <c r="I124" s="312" t="n"/>
      <c r="J124" s="216" t="n"/>
      <c r="K124" s="312" t="n"/>
      <c r="L124" s="216" t="n"/>
      <c r="M124" s="313" t="n"/>
      <c r="N124" s="314">
        <f>H124*I124*M124</f>
        <v/>
      </c>
      <c r="O124" s="208" t="inlineStr">
        <is>
          <t>物探</t>
        </is>
      </c>
      <c r="P124" s="315" t="n"/>
      <c r="Q124" s="314">
        <f>N124*P124</f>
        <v/>
      </c>
      <c r="R124" s="314">
        <f>N124+Q124</f>
        <v/>
      </c>
      <c r="S124" s="312" t="inlineStr">
        <is>
          <t xml:space="preserve"> 表7.2-1</t>
        </is>
      </c>
      <c r="T124" s="312" t="n"/>
      <c r="U124" s="104" t="n"/>
      <c r="W124" s="154" t="n"/>
      <c r="X124" s="323" t="n">
        <v>360</v>
      </c>
      <c r="Y124" s="111" t="n"/>
      <c r="Z124" s="118" t="n">
        <v>1</v>
      </c>
      <c r="AA124" s="111" t="n"/>
      <c r="AB124" s="320">
        <f>VLOOKUP(O124,{"甲级","1.2";"乙级","1";"丙级","0.8";"物探","0.22"},2,0)</f>
        <v/>
      </c>
      <c r="AC124" s="111" t="n"/>
      <c r="AD124" s="317">
        <f>H124+AG124-X124</f>
        <v/>
      </c>
      <c r="AE124" s="317">
        <f>M124+AH124-Z124</f>
        <v/>
      </c>
      <c r="AF124" s="317">
        <f>P124+AI124-AB124</f>
        <v/>
      </c>
      <c r="AG124" s="131" t="n"/>
      <c r="AH124" s="131" t="n"/>
      <c r="AI124" s="131" t="n"/>
      <c r="AJ124" s="131" t="n"/>
      <c r="AK124" s="131" t="n"/>
      <c r="AL124" s="131" t="n"/>
      <c r="AM124" s="131" t="n"/>
      <c r="AN124" s="131" t="n"/>
      <c r="AO124" s="131" t="n"/>
    </row>
    <row r="125" ht="14.4" customFormat="1" customHeight="1" s="47">
      <c r="A125" s="208" t="n">
        <v>122</v>
      </c>
      <c r="B125" s="321" t="n"/>
      <c r="C125" s="321" t="n"/>
      <c r="D125" s="321" t="n"/>
      <c r="E125" s="216" t="n">
        <v>50</v>
      </c>
      <c r="F125" s="208" t="n"/>
      <c r="G125" s="222" t="inlineStr">
        <is>
          <t>测点</t>
        </is>
      </c>
      <c r="H125" s="328" t="n"/>
      <c r="I125" s="312" t="n"/>
      <c r="J125" s="216" t="n"/>
      <c r="K125" s="312" t="n"/>
      <c r="L125" s="216" t="n"/>
      <c r="M125" s="313" t="n"/>
      <c r="N125" s="314">
        <f>H125*I125*M125</f>
        <v/>
      </c>
      <c r="O125" s="208" t="inlineStr">
        <is>
          <t>物探</t>
        </is>
      </c>
      <c r="P125" s="315" t="n"/>
      <c r="Q125" s="314">
        <f>N125*P125</f>
        <v/>
      </c>
      <c r="R125" s="314">
        <f>N125+Q125</f>
        <v/>
      </c>
      <c r="S125" s="312" t="inlineStr">
        <is>
          <t xml:space="preserve"> 表7.2-1</t>
        </is>
      </c>
      <c r="T125" s="312" t="n"/>
      <c r="U125" s="104" t="n"/>
      <c r="W125" s="154" t="n"/>
      <c r="X125" s="323" t="n">
        <v>720</v>
      </c>
      <c r="Y125" s="111" t="n"/>
      <c r="Z125" s="118" t="n">
        <v>1</v>
      </c>
      <c r="AA125" s="111" t="n"/>
      <c r="AB125" s="320">
        <f>VLOOKUP(O125,{"甲级","1.2";"乙级","1";"丙级","0.8";"物探","0.22"},2,0)</f>
        <v/>
      </c>
      <c r="AC125" s="111" t="n"/>
      <c r="AD125" s="317">
        <f>H125+AG125-X125</f>
        <v/>
      </c>
      <c r="AE125" s="317">
        <f>M125+AH125-Z125</f>
        <v/>
      </c>
      <c r="AF125" s="317">
        <f>P125+AI125-AB125</f>
        <v/>
      </c>
      <c r="AG125" s="131" t="n"/>
      <c r="AH125" s="131" t="n"/>
      <c r="AI125" s="131" t="n"/>
      <c r="AJ125" s="131" t="n"/>
      <c r="AK125" s="131" t="n"/>
      <c r="AL125" s="131" t="n"/>
      <c r="AM125" s="131" t="n"/>
      <c r="AN125" s="131" t="n"/>
      <c r="AO125" s="131" t="n"/>
    </row>
    <row r="126" ht="24" customFormat="1" customHeight="1" s="47">
      <c r="A126" s="208" t="n">
        <v>123</v>
      </c>
      <c r="B126" s="321" t="n"/>
      <c r="C126" s="321" t="n"/>
      <c r="D126" s="321" t="n"/>
      <c r="E126" s="216" t="n">
        <v>100</v>
      </c>
      <c r="F126" s="208" t="n"/>
      <c r="G126" s="222" t="inlineStr">
        <is>
          <t>测点</t>
        </is>
      </c>
      <c r="H126" s="328" t="n"/>
      <c r="I126" s="312" t="n">
        <v>229</v>
      </c>
      <c r="J126" s="216" t="n"/>
      <c r="K126" s="312" t="n"/>
      <c r="L126" s="216" t="n"/>
      <c r="M126" s="313" t="n"/>
      <c r="N126" s="314">
        <f>H126*I126*M126</f>
        <v/>
      </c>
      <c r="O126" s="208" t="inlineStr">
        <is>
          <t>物探</t>
        </is>
      </c>
      <c r="P126" s="315" t="n"/>
      <c r="Q126" s="314">
        <f>N126*P126</f>
        <v/>
      </c>
      <c r="R126" s="314">
        <f>N126+Q126</f>
        <v/>
      </c>
      <c r="S126" s="312" t="inlineStr">
        <is>
          <t xml:space="preserve"> 表7.2-1</t>
        </is>
      </c>
      <c r="T126" s="312" t="inlineStr">
        <is>
          <t>水陆连续地形系数1.5</t>
        </is>
      </c>
      <c r="U126" s="104" t="n"/>
      <c r="W126" s="154" t="n"/>
      <c r="X126" s="323" t="n">
        <v>2160</v>
      </c>
      <c r="Y126" s="111" t="n"/>
      <c r="Z126" s="118" t="n">
        <v>1.5</v>
      </c>
      <c r="AA126" s="111" t="n"/>
      <c r="AB126" s="320">
        <f>VLOOKUP(O126,{"甲级","1.2";"乙级","1";"丙级","0.8";"物探","0.22"},2,0)</f>
        <v/>
      </c>
      <c r="AC126" s="111" t="n"/>
      <c r="AD126" s="317">
        <f>H126+AG126-X126</f>
        <v/>
      </c>
      <c r="AE126" s="317">
        <f>M126+AH126-Z126</f>
        <v/>
      </c>
      <c r="AF126" s="317">
        <f>P126+AI126-AB126</f>
        <v/>
      </c>
      <c r="AG126" s="131" t="n"/>
      <c r="AH126" s="131" t="n"/>
      <c r="AI126" s="131" t="n"/>
      <c r="AJ126" s="131" t="n"/>
      <c r="AK126" s="131" t="n"/>
      <c r="AL126" s="131" t="n"/>
      <c r="AM126" s="131" t="n"/>
      <c r="AN126" s="131" t="n"/>
      <c r="AO126" s="131" t="n"/>
    </row>
    <row r="127" ht="14.4" customFormat="1" customHeight="1" s="47">
      <c r="A127" s="208" t="n">
        <v>124</v>
      </c>
      <c r="B127" s="321" t="n"/>
      <c r="C127" s="307" t="n"/>
      <c r="D127" s="307" t="n"/>
      <c r="E127" s="216" t="n">
        <v>200</v>
      </c>
      <c r="F127" s="208" t="n"/>
      <c r="G127" s="222" t="inlineStr">
        <is>
          <t>测点</t>
        </is>
      </c>
      <c r="H127" s="328" t="n"/>
      <c r="I127" s="312" t="n"/>
      <c r="J127" s="312" t="n"/>
      <c r="K127" s="312" t="n"/>
      <c r="L127" s="312" t="n"/>
      <c r="M127" s="313" t="n"/>
      <c r="N127" s="314">
        <f>H127*I127*M127</f>
        <v/>
      </c>
      <c r="O127" s="208" t="inlineStr">
        <is>
          <t>物探</t>
        </is>
      </c>
      <c r="P127" s="315" t="n"/>
      <c r="Q127" s="314">
        <f>N127*P127</f>
        <v/>
      </c>
      <c r="R127" s="314">
        <f>N127+Q127</f>
        <v/>
      </c>
      <c r="S127" s="312" t="inlineStr">
        <is>
          <t xml:space="preserve"> 表7.2-1</t>
        </is>
      </c>
      <c r="T127" s="312" t="n"/>
      <c r="U127" s="104" t="n"/>
      <c r="W127" s="154" t="n"/>
      <c r="X127" s="323" t="n">
        <v>3600</v>
      </c>
      <c r="Y127" s="111" t="n"/>
      <c r="Z127" s="118" t="n">
        <v>1</v>
      </c>
      <c r="AA127" s="111" t="n"/>
      <c r="AB127" s="320">
        <f>VLOOKUP(O127,{"甲级","1.2";"乙级","1";"丙级","0.8";"物探","0.22"},2,0)</f>
        <v/>
      </c>
      <c r="AC127" s="111" t="n"/>
      <c r="AD127" s="317">
        <f>H127+AG127-X127</f>
        <v/>
      </c>
      <c r="AE127" s="317">
        <f>M127+AH127-Z127</f>
        <v/>
      </c>
      <c r="AF127" s="317">
        <f>P127+AI127-AB127</f>
        <v/>
      </c>
      <c r="AG127" s="131" t="n"/>
      <c r="AH127" s="131" t="n"/>
      <c r="AI127" s="131" t="n"/>
      <c r="AJ127" s="131" t="n"/>
      <c r="AK127" s="131" t="n"/>
      <c r="AL127" s="131" t="n"/>
      <c r="AM127" s="131" t="n"/>
      <c r="AN127" s="131" t="n"/>
      <c r="AO127" s="131" t="n"/>
    </row>
    <row r="128" ht="14.4" customFormat="1" customHeight="1" s="47">
      <c r="A128" s="208" t="n">
        <v>125</v>
      </c>
      <c r="B128" s="321" t="n"/>
      <c r="C128" s="209" t="inlineStr">
        <is>
          <t>微重力勘探</t>
        </is>
      </c>
      <c r="D128" s="210" t="inlineStr">
        <is>
          <t>点距L(m)</t>
        </is>
      </c>
      <c r="E128" s="216" t="inlineStr">
        <is>
          <t>L≤5</t>
        </is>
      </c>
      <c r="F128" s="208" t="n"/>
      <c r="G128" s="222" t="inlineStr">
        <is>
          <t>测点</t>
        </is>
      </c>
      <c r="H128" s="328" t="n"/>
      <c r="I128" s="312" t="n"/>
      <c r="J128" s="312" t="n"/>
      <c r="K128" s="312" t="n"/>
      <c r="L128" s="312" t="n"/>
      <c r="M128" s="313" t="n"/>
      <c r="N128" s="314">
        <f>H128*I128*M128</f>
        <v/>
      </c>
      <c r="O128" s="208" t="inlineStr">
        <is>
          <t>物探</t>
        </is>
      </c>
      <c r="P128" s="315" t="n"/>
      <c r="Q128" s="314">
        <f>N128*P128</f>
        <v/>
      </c>
      <c r="R128" s="314">
        <f>N128+Q128</f>
        <v/>
      </c>
      <c r="S128" s="312" t="inlineStr">
        <is>
          <t xml:space="preserve"> 表7.2-1</t>
        </is>
      </c>
      <c r="T128" s="312" t="n"/>
      <c r="U128" s="104" t="n"/>
      <c r="W128" s="154" t="n"/>
      <c r="X128" s="323" t="n">
        <v>27</v>
      </c>
      <c r="Y128" s="111" t="n"/>
      <c r="Z128" s="118" t="n">
        <v>1</v>
      </c>
      <c r="AA128" s="111" t="n"/>
      <c r="AB128" s="320">
        <f>VLOOKUP(O128,{"甲级","1.2";"乙级","1";"丙级","0.8";"物探","0.22"},2,0)</f>
        <v/>
      </c>
      <c r="AC128" s="111" t="n"/>
      <c r="AD128" s="317">
        <f>H128+AG128-X128</f>
        <v/>
      </c>
      <c r="AE128" s="317">
        <f>M128+AH128-Z128</f>
        <v/>
      </c>
      <c r="AF128" s="317">
        <f>P128+AI128-AB128</f>
        <v/>
      </c>
      <c r="AG128" s="131" t="n"/>
      <c r="AH128" s="131" t="n"/>
      <c r="AI128" s="131" t="n"/>
      <c r="AJ128" s="131" t="n"/>
      <c r="AK128" s="131" t="n"/>
      <c r="AL128" s="131" t="n"/>
      <c r="AM128" s="131" t="n"/>
      <c r="AN128" s="131" t="n"/>
      <c r="AO128" s="131" t="n"/>
    </row>
    <row r="129" ht="14.4" customFormat="1" customHeight="1" s="47">
      <c r="A129" s="208" t="n">
        <v>126</v>
      </c>
      <c r="B129" s="321" t="n"/>
      <c r="C129" s="321" t="n"/>
      <c r="D129" s="321" t="n"/>
      <c r="E129" s="216" t="inlineStr">
        <is>
          <t>5＜L≤20</t>
        </is>
      </c>
      <c r="F129" s="208" t="n"/>
      <c r="G129" s="222" t="inlineStr">
        <is>
          <t>测点</t>
        </is>
      </c>
      <c r="H129" s="328" t="n"/>
      <c r="I129" s="312" t="n"/>
      <c r="J129" s="312" t="n"/>
      <c r="K129" s="312" t="n"/>
      <c r="L129" s="312" t="n"/>
      <c r="M129" s="313" t="n"/>
      <c r="N129" s="314">
        <f>H129*I129*M129</f>
        <v/>
      </c>
      <c r="O129" s="208" t="inlineStr">
        <is>
          <t>物探</t>
        </is>
      </c>
      <c r="P129" s="315" t="n"/>
      <c r="Q129" s="314">
        <f>N129*P129</f>
        <v/>
      </c>
      <c r="R129" s="314">
        <f>N129+Q129</f>
        <v/>
      </c>
      <c r="S129" s="312" t="inlineStr">
        <is>
          <t xml:space="preserve"> 表7.2-1</t>
        </is>
      </c>
      <c r="T129" s="312" t="n"/>
      <c r="U129" s="104" t="n"/>
      <c r="W129" s="154" t="n"/>
      <c r="X129" s="323" t="n">
        <v>36</v>
      </c>
      <c r="Y129" s="111" t="n"/>
      <c r="Z129" s="118" t="n">
        <v>1</v>
      </c>
      <c r="AA129" s="111" t="n"/>
      <c r="AB129" s="320">
        <f>VLOOKUP(O129,{"甲级","1.2";"乙级","1";"丙级","0.8";"物探","0.22"},2,0)</f>
        <v/>
      </c>
      <c r="AC129" s="111" t="n"/>
      <c r="AD129" s="317">
        <f>H129+AG129-X129</f>
        <v/>
      </c>
      <c r="AE129" s="317">
        <f>M129+AH129-Z129</f>
        <v/>
      </c>
      <c r="AF129" s="317">
        <f>P129+AI129-AB129</f>
        <v/>
      </c>
      <c r="AG129" s="131" t="n"/>
      <c r="AH129" s="131" t="n"/>
      <c r="AI129" s="131" t="n"/>
      <c r="AJ129" s="131" t="n"/>
      <c r="AK129" s="131" t="n"/>
      <c r="AL129" s="131" t="n"/>
      <c r="AM129" s="131" t="n"/>
      <c r="AN129" s="131" t="n"/>
      <c r="AO129" s="131" t="n"/>
    </row>
    <row r="130" ht="14.4" customFormat="1" customHeight="1" s="47">
      <c r="A130" s="208" t="n">
        <v>127</v>
      </c>
      <c r="B130" s="321" t="n"/>
      <c r="C130" s="307" t="n"/>
      <c r="D130" s="307" t="n"/>
      <c r="E130" s="216" t="inlineStr">
        <is>
          <t>20＜L≤50</t>
        </is>
      </c>
      <c r="F130" s="208" t="n"/>
      <c r="G130" s="222" t="inlineStr">
        <is>
          <t>测点</t>
        </is>
      </c>
      <c r="H130" s="328" t="n"/>
      <c r="I130" s="312" t="n"/>
      <c r="J130" s="312" t="n"/>
      <c r="K130" s="312" t="n"/>
      <c r="L130" s="312" t="n"/>
      <c r="M130" s="313" t="n"/>
      <c r="N130" s="314">
        <f>H130*I130*M130</f>
        <v/>
      </c>
      <c r="O130" s="208" t="inlineStr">
        <is>
          <t>物探</t>
        </is>
      </c>
      <c r="P130" s="315" t="n"/>
      <c r="Q130" s="314">
        <f>N130*P130</f>
        <v/>
      </c>
      <c r="R130" s="314">
        <f>N130+Q130</f>
        <v/>
      </c>
      <c r="S130" s="312" t="inlineStr">
        <is>
          <t xml:space="preserve"> 表7.2-1</t>
        </is>
      </c>
      <c r="T130" s="312" t="n"/>
      <c r="U130" s="104" t="n"/>
      <c r="W130" s="154" t="n"/>
      <c r="X130" s="323" t="n">
        <v>54</v>
      </c>
      <c r="Y130" s="111" t="n"/>
      <c r="Z130" s="118" t="n">
        <v>1</v>
      </c>
      <c r="AA130" s="111" t="n"/>
      <c r="AB130" s="320">
        <f>VLOOKUP(O130,{"甲级","1.2";"乙级","1";"丙级","0.8";"物探","0.22"},2,0)</f>
        <v/>
      </c>
      <c r="AC130" s="111" t="n"/>
      <c r="AD130" s="317">
        <f>H130+AG130-X130</f>
        <v/>
      </c>
      <c r="AE130" s="317">
        <f>M130+AH130-Z130</f>
        <v/>
      </c>
      <c r="AF130" s="317">
        <f>P130+AI130-AB130</f>
        <v/>
      </c>
      <c r="AG130" s="131" t="n"/>
      <c r="AH130" s="131" t="n"/>
      <c r="AI130" s="131" t="n"/>
      <c r="AJ130" s="131" t="n"/>
      <c r="AK130" s="131" t="n"/>
      <c r="AL130" s="131" t="n"/>
      <c r="AM130" s="131" t="n"/>
      <c r="AN130" s="131" t="n"/>
      <c r="AO130" s="131" t="n"/>
    </row>
    <row r="131" ht="14.4" customFormat="1" customHeight="1" s="47">
      <c r="A131" s="208" t="n">
        <v>128</v>
      </c>
      <c r="B131" s="321" t="n"/>
      <c r="C131" s="209" t="inlineStr">
        <is>
          <t>地下管线探测</t>
        </is>
      </c>
      <c r="D131" s="216" t="inlineStr">
        <is>
          <t>电缆（电力、通讯等）</t>
        </is>
      </c>
      <c r="E131" s="304" t="n"/>
      <c r="F131" s="208" t="inlineStr">
        <is>
          <t>简单</t>
        </is>
      </c>
      <c r="G131" s="312" t="inlineStr">
        <is>
          <t>km</t>
        </is>
      </c>
      <c r="H131" s="328" t="n"/>
      <c r="I131" s="312" t="n"/>
      <c r="J131" s="312" t="n"/>
      <c r="K131" s="312" t="n"/>
      <c r="L131" s="312" t="n"/>
      <c r="M131" s="313" t="n"/>
      <c r="N131" s="314">
        <f>H131*I131*M131</f>
        <v/>
      </c>
      <c r="O131" s="208" t="inlineStr">
        <is>
          <t>物探</t>
        </is>
      </c>
      <c r="P131" s="315" t="n"/>
      <c r="Q131" s="314">
        <f>N131*P131</f>
        <v/>
      </c>
      <c r="R131" s="314">
        <f>N131+Q131</f>
        <v/>
      </c>
      <c r="S131" s="312" t="inlineStr">
        <is>
          <t xml:space="preserve"> 表7.2-1</t>
        </is>
      </c>
      <c r="T131" s="312" t="n"/>
      <c r="U131" s="104" t="n"/>
      <c r="W131" s="154" t="n"/>
      <c r="X131" s="323">
        <f>VLOOKUP(F131,{"简单","1800";"中等","3600";"复杂","6300"},2,0)</f>
        <v/>
      </c>
      <c r="Y131" s="111" t="n"/>
      <c r="Z131" s="118" t="n">
        <v>1</v>
      </c>
      <c r="AA131" s="111" t="n"/>
      <c r="AB131" s="320">
        <f>VLOOKUP(O131,{"甲级","1.2";"乙级","1";"丙级","0.8";"物探","0.22"},2,0)</f>
        <v/>
      </c>
      <c r="AC131" s="111" t="n"/>
      <c r="AD131" s="317">
        <f>H131+AG131-X131</f>
        <v/>
      </c>
      <c r="AE131" s="317">
        <f>M131+AH131-Z131</f>
        <v/>
      </c>
      <c r="AF131" s="317">
        <f>P131+AI131-AB131</f>
        <v/>
      </c>
      <c r="AG131" s="131" t="n"/>
      <c r="AH131" s="131" t="n"/>
      <c r="AI131" s="131" t="n"/>
      <c r="AJ131" s="131" t="n"/>
      <c r="AK131" s="131" t="n"/>
      <c r="AL131" s="131" t="n"/>
      <c r="AM131" s="131" t="n"/>
      <c r="AN131" s="131" t="n"/>
      <c r="AO131" s="131" t="n"/>
    </row>
    <row r="132" ht="14.4" customFormat="1" customHeight="1" s="47">
      <c r="A132" s="208" t="n">
        <v>129</v>
      </c>
      <c r="B132" s="321" t="n"/>
      <c r="C132" s="321" t="n"/>
      <c r="D132" s="216" t="inlineStr">
        <is>
          <t>金属管道</t>
        </is>
      </c>
      <c r="E132" s="304" t="n"/>
      <c r="F132" s="208" t="inlineStr">
        <is>
          <t>简单</t>
        </is>
      </c>
      <c r="G132" s="312" t="inlineStr">
        <is>
          <t>km</t>
        </is>
      </c>
      <c r="H132" s="328" t="n"/>
      <c r="I132" s="312" t="n"/>
      <c r="J132" s="312" t="n"/>
      <c r="K132" s="312" t="n"/>
      <c r="L132" s="312" t="n"/>
      <c r="M132" s="313" t="n"/>
      <c r="N132" s="314">
        <f>H132*I132*M132</f>
        <v/>
      </c>
      <c r="O132" s="208" t="inlineStr">
        <is>
          <t>物探</t>
        </is>
      </c>
      <c r="P132" s="315" t="n"/>
      <c r="Q132" s="314">
        <f>N132*P132</f>
        <v/>
      </c>
      <c r="R132" s="314">
        <f>N132+Q132</f>
        <v/>
      </c>
      <c r="S132" s="312" t="inlineStr">
        <is>
          <t xml:space="preserve"> 表7.2-1</t>
        </is>
      </c>
      <c r="T132" s="312" t="n"/>
      <c r="U132" s="104" t="n"/>
      <c r="W132" s="154" t="n"/>
      <c r="X132" s="323">
        <f>VLOOKUP(F132,{"简单","2250";"中等","4500";"复杂","7200"},2,0)</f>
        <v/>
      </c>
      <c r="Y132" s="111" t="n"/>
      <c r="Z132" s="118" t="n">
        <v>1</v>
      </c>
      <c r="AA132" s="111" t="n"/>
      <c r="AB132" s="320">
        <f>VLOOKUP(O132,{"甲级","1.2";"乙级","1";"丙级","0.8";"物探","0.22"},2,0)</f>
        <v/>
      </c>
      <c r="AC132" s="111" t="n"/>
      <c r="AD132" s="317">
        <f>H132+AG132-X132</f>
        <v/>
      </c>
      <c r="AE132" s="317">
        <f>M132+AH132-Z132</f>
        <v/>
      </c>
      <c r="AF132" s="317">
        <f>P132+AI132-AB132</f>
        <v/>
      </c>
      <c r="AG132" s="131" t="n"/>
      <c r="AH132" s="131" t="n"/>
      <c r="AI132" s="131" t="n"/>
      <c r="AJ132" s="131" t="n"/>
      <c r="AK132" s="131" t="n"/>
      <c r="AL132" s="131" t="n"/>
      <c r="AM132" s="131" t="n"/>
      <c r="AN132" s="131" t="n"/>
      <c r="AO132" s="131" t="n"/>
    </row>
    <row r="133" ht="14.4" customFormat="1" customHeight="1" s="47">
      <c r="A133" s="208" t="n">
        <v>130</v>
      </c>
      <c r="B133" s="321" t="n"/>
      <c r="C133" s="321" t="n"/>
      <c r="D133" s="216" t="inlineStr">
        <is>
          <t>非金属管道</t>
        </is>
      </c>
      <c r="E133" s="304" t="n"/>
      <c r="F133" s="208" t="inlineStr">
        <is>
          <t>简单</t>
        </is>
      </c>
      <c r="G133" s="312" t="inlineStr">
        <is>
          <t>km</t>
        </is>
      </c>
      <c r="H133" s="328" t="n"/>
      <c r="I133" s="312" t="n"/>
      <c r="J133" s="312" t="n"/>
      <c r="K133" s="312" t="n"/>
      <c r="L133" s="312" t="n"/>
      <c r="M133" s="313" t="n"/>
      <c r="N133" s="314">
        <f>H133*I133*M133</f>
        <v/>
      </c>
      <c r="O133" s="208" t="inlineStr">
        <is>
          <t>物探</t>
        </is>
      </c>
      <c r="P133" s="315" t="n"/>
      <c r="Q133" s="314">
        <f>N133*P133</f>
        <v/>
      </c>
      <c r="R133" s="314">
        <f>N133+Q133</f>
        <v/>
      </c>
      <c r="S133" s="312" t="inlineStr">
        <is>
          <t xml:space="preserve"> 表7.2-1</t>
        </is>
      </c>
      <c r="T133" s="312" t="n"/>
      <c r="U133" s="104" t="n"/>
      <c r="W133" s="154" t="n"/>
      <c r="X133" s="323">
        <f>VLOOKUP(F133,{"简单","2700";"中等","5400";"复杂","9000"},2,0)</f>
        <v/>
      </c>
      <c r="Y133" s="111" t="n"/>
      <c r="Z133" s="118" t="n">
        <v>1</v>
      </c>
      <c r="AA133" s="111" t="n"/>
      <c r="AB133" s="320">
        <f>VLOOKUP(O133,{"甲级","1.2";"乙级","1";"丙级","0.8";"物探","0.22"},2,0)</f>
        <v/>
      </c>
      <c r="AC133" s="111" t="n"/>
      <c r="AD133" s="317">
        <f>H133+AG133-X133</f>
        <v/>
      </c>
      <c r="AE133" s="317">
        <f>M133+AH133-Z133</f>
        <v/>
      </c>
      <c r="AF133" s="317">
        <f>P133+AI133-AB133</f>
        <v/>
      </c>
      <c r="AG133" s="131" t="n"/>
      <c r="AH133" s="131" t="n"/>
      <c r="AI133" s="131" t="n"/>
      <c r="AJ133" s="131" t="n"/>
      <c r="AK133" s="131" t="n"/>
      <c r="AL133" s="131" t="n"/>
      <c r="AM133" s="131" t="n"/>
      <c r="AN133" s="131" t="n"/>
      <c r="AO133" s="131" t="n"/>
    </row>
    <row r="134" ht="14.4" customFormat="1" customHeight="1" s="47">
      <c r="A134" s="208" t="n">
        <v>131</v>
      </c>
      <c r="B134" s="321" t="n"/>
      <c r="C134" s="321" t="n"/>
      <c r="D134" s="216" t="inlineStr">
        <is>
          <t>下水道（有窨井）</t>
        </is>
      </c>
      <c r="E134" s="304" t="n"/>
      <c r="F134" s="208" t="inlineStr">
        <is>
          <t>简单</t>
        </is>
      </c>
      <c r="G134" s="312" t="inlineStr">
        <is>
          <t>km</t>
        </is>
      </c>
      <c r="H134" s="328" t="n"/>
      <c r="I134" s="312" t="n"/>
      <c r="J134" s="312" t="n"/>
      <c r="K134" s="312" t="n"/>
      <c r="L134" s="312" t="n"/>
      <c r="M134" s="313" t="n"/>
      <c r="N134" s="314">
        <f>H134*I134*M134</f>
        <v/>
      </c>
      <c r="O134" s="208" t="inlineStr">
        <is>
          <t>物探</t>
        </is>
      </c>
      <c r="P134" s="315" t="n"/>
      <c r="Q134" s="314">
        <f>N134*P134</f>
        <v/>
      </c>
      <c r="R134" s="314">
        <f>N134+Q134</f>
        <v/>
      </c>
      <c r="S134" s="312" t="inlineStr">
        <is>
          <t xml:space="preserve"> 表7.2-1</t>
        </is>
      </c>
      <c r="T134" s="312" t="n"/>
      <c r="U134" s="104" t="n"/>
      <c r="W134" s="154" t="n"/>
      <c r="X134" s="323">
        <f>VLOOKUP(F134,{"简单","1350";"中等","2700";"复杂","5400"},2,0)</f>
        <v/>
      </c>
      <c r="Y134" s="111" t="n"/>
      <c r="Z134" s="118" t="n">
        <v>1</v>
      </c>
      <c r="AA134" s="111" t="n"/>
      <c r="AB134" s="320">
        <f>VLOOKUP(O134,{"甲级","1.2";"乙级","1";"丙级","0.8";"物探","0.22"},2,0)</f>
        <v/>
      </c>
      <c r="AC134" s="111" t="n"/>
      <c r="AD134" s="317">
        <f>H134+AG134-X134</f>
        <v/>
      </c>
      <c r="AE134" s="317">
        <f>M134+AH134-Z134</f>
        <v/>
      </c>
      <c r="AF134" s="317">
        <f>P134+AI134-AB134</f>
        <v/>
      </c>
      <c r="AG134" s="131" t="n"/>
      <c r="AH134" s="131" t="n"/>
      <c r="AI134" s="131" t="n"/>
      <c r="AJ134" s="131" t="n"/>
      <c r="AK134" s="131" t="n"/>
      <c r="AL134" s="131" t="n"/>
      <c r="AM134" s="131" t="n"/>
      <c r="AN134" s="131" t="n"/>
      <c r="AO134" s="131" t="n"/>
    </row>
    <row r="135" ht="14.4" customFormat="1" customHeight="1" s="47">
      <c r="A135" s="208" t="n">
        <v>132</v>
      </c>
      <c r="B135" s="321" t="n"/>
      <c r="C135" s="307" t="n"/>
      <c r="D135" s="216" t="inlineStr">
        <is>
          <t>盲探管线</t>
        </is>
      </c>
      <c r="E135" s="304" t="n"/>
      <c r="F135" s="208" t="inlineStr">
        <is>
          <t>简单</t>
        </is>
      </c>
      <c r="G135" s="312" t="inlineStr">
        <is>
          <t>m2</t>
        </is>
      </c>
      <c r="H135" s="328" t="n"/>
      <c r="I135" s="312" t="n"/>
      <c r="J135" s="312" t="n"/>
      <c r="K135" s="312" t="n"/>
      <c r="L135" s="312" t="n"/>
      <c r="M135" s="313" t="n"/>
      <c r="N135" s="314">
        <f>H135*I135*M135</f>
        <v/>
      </c>
      <c r="O135" s="208" t="inlineStr">
        <is>
          <t>物探</t>
        </is>
      </c>
      <c r="P135" s="315" t="n"/>
      <c r="Q135" s="314">
        <f>N135*P135</f>
        <v/>
      </c>
      <c r="R135" s="314">
        <f>N135+Q135</f>
        <v/>
      </c>
      <c r="S135" s="312" t="inlineStr">
        <is>
          <t xml:space="preserve"> 表7.2-1</t>
        </is>
      </c>
      <c r="T135" s="312" t="n"/>
      <c r="U135" s="104" t="n"/>
      <c r="W135" s="154" t="n"/>
      <c r="X135" s="323">
        <f>VLOOKUP(F135,{"简单","1";"中等","1.5";"复杂","3"},2,0)</f>
        <v/>
      </c>
      <c r="Y135" s="111" t="n"/>
      <c r="Z135" s="118" t="n">
        <v>1</v>
      </c>
      <c r="AA135" s="111" t="n"/>
      <c r="AB135" s="320">
        <f>VLOOKUP(O135,{"甲级","1.2";"乙级","1";"丙级","0.8";"物探","0.22"},2,0)</f>
        <v/>
      </c>
      <c r="AC135" s="111" t="n"/>
      <c r="AD135" s="317">
        <f>H135+AG135-X135</f>
        <v/>
      </c>
      <c r="AE135" s="317">
        <f>M135+AH135-Z135</f>
        <v/>
      </c>
      <c r="AF135" s="317">
        <f>P135+AI135-AB135</f>
        <v/>
      </c>
      <c r="AG135" s="131" t="n"/>
      <c r="AH135" s="131" t="n"/>
      <c r="AI135" s="131" t="n"/>
      <c r="AJ135" s="131" t="n"/>
      <c r="AK135" s="131" t="n"/>
      <c r="AL135" s="131" t="n"/>
      <c r="AM135" s="131" t="n"/>
      <c r="AN135" s="131" t="n"/>
      <c r="AO135" s="131" t="n"/>
    </row>
    <row r="136" ht="24" customFormat="1" customHeight="1" s="47">
      <c r="A136" s="208" t="n">
        <v>133</v>
      </c>
      <c r="B136" s="321" t="n"/>
      <c r="C136" s="220" t="inlineStr">
        <is>
          <t>测井</t>
        </is>
      </c>
      <c r="D136" s="208" t="inlineStr">
        <is>
          <t>钻孔电视</t>
        </is>
      </c>
      <c r="E136" s="304" t="n"/>
      <c r="F136" s="208" t="n"/>
      <c r="G136" s="312" t="inlineStr">
        <is>
          <t>m</t>
        </is>
      </c>
      <c r="H136" s="328" t="n"/>
      <c r="I136" s="312" t="n">
        <v>2290</v>
      </c>
      <c r="J136" s="312" t="n"/>
      <c r="K136" s="312" t="n"/>
      <c r="L136" s="312" t="n"/>
      <c r="M136" s="313" t="n"/>
      <c r="N136" s="314">
        <f>H136*I136*M136</f>
        <v/>
      </c>
      <c r="O136" s="208" t="inlineStr">
        <is>
          <t>物探</t>
        </is>
      </c>
      <c r="P136" s="315" t="n"/>
      <c r="Q136" s="314">
        <f>N136*P136</f>
        <v/>
      </c>
      <c r="R136" s="314">
        <f>N136+Q136</f>
        <v/>
      </c>
      <c r="S136" s="312" t="inlineStr">
        <is>
          <t xml:space="preserve"> 表7.2-1</t>
        </is>
      </c>
      <c r="T136" s="312" t="inlineStr">
        <is>
          <t>山岭隧道地形系数1.7</t>
        </is>
      </c>
      <c r="U136" s="104" t="n"/>
      <c r="W136" s="154" t="n"/>
      <c r="X136" s="323" t="n">
        <v>45</v>
      </c>
      <c r="Y136" s="111" t="n"/>
      <c r="Z136" s="118" t="n">
        <v>1.7</v>
      </c>
      <c r="AA136" s="111" t="n"/>
      <c r="AB136" s="320">
        <f>VLOOKUP(O136,{"甲级","1.2";"乙级","1";"丙级","0.8";"物探","0.22"},2,0)</f>
        <v/>
      </c>
      <c r="AC136" s="111" t="n"/>
      <c r="AD136" s="317">
        <f>H136+AG136-X136</f>
        <v/>
      </c>
      <c r="AE136" s="317">
        <f>M136+AH136-Z136</f>
        <v/>
      </c>
      <c r="AF136" s="317">
        <f>P136+AI136-AB136</f>
        <v/>
      </c>
      <c r="AG136" s="131" t="n"/>
      <c r="AH136" s="131" t="n"/>
      <c r="AI136" s="131" t="n"/>
      <c r="AJ136" s="131" t="n"/>
      <c r="AK136" s="131" t="n"/>
      <c r="AL136" s="131" t="n"/>
      <c r="AM136" s="131" t="n"/>
      <c r="AN136" s="131" t="n"/>
      <c r="AO136" s="131" t="n"/>
    </row>
    <row r="137" ht="24" customFormat="1" customHeight="1" s="47">
      <c r="A137" s="208" t="n">
        <v>134</v>
      </c>
      <c r="B137" s="321" t="n"/>
      <c r="C137" s="307" t="n"/>
      <c r="D137" s="208" t="inlineStr">
        <is>
          <t>声波测井（参考指引）</t>
        </is>
      </c>
      <c r="E137" s="304" t="n"/>
      <c r="F137" s="208" t="n"/>
      <c r="G137" s="312" t="inlineStr">
        <is>
          <t>m</t>
        </is>
      </c>
      <c r="H137" s="328" t="n"/>
      <c r="I137" s="312" t="n">
        <v>2290</v>
      </c>
      <c r="J137" s="312" t="n"/>
      <c r="K137" s="312" t="n"/>
      <c r="L137" s="312" t="n"/>
      <c r="M137" s="313" t="n"/>
      <c r="N137" s="314">
        <f>H137*I137*M137</f>
        <v/>
      </c>
      <c r="O137" s="208" t="inlineStr">
        <is>
          <t>物探</t>
        </is>
      </c>
      <c r="P137" s="315" t="n"/>
      <c r="Q137" s="314">
        <f>N137*P137</f>
        <v/>
      </c>
      <c r="R137" s="314">
        <f>N137+Q137</f>
        <v/>
      </c>
      <c r="S137" s="312" t="inlineStr">
        <is>
          <t xml:space="preserve"> 表7.2-1</t>
        </is>
      </c>
      <c r="T137" s="312" t="inlineStr">
        <is>
          <t>山岭隧道地形系数1.7</t>
        </is>
      </c>
      <c r="U137" s="104" t="n"/>
      <c r="W137" s="154" t="n"/>
      <c r="X137" s="323" t="n">
        <v>211</v>
      </c>
      <c r="Y137" s="111" t="n"/>
      <c r="Z137" s="118" t="n">
        <v>1.7</v>
      </c>
      <c r="AA137" s="111" t="n"/>
      <c r="AB137" s="320">
        <f>VLOOKUP(O137,{"甲级","1.2";"乙级","1";"丙级","0.8";"物探","0.22"},2,0)</f>
        <v/>
      </c>
      <c r="AC137" s="111" t="n"/>
      <c r="AD137" s="317">
        <f>H137+AG137-X137</f>
        <v/>
      </c>
      <c r="AE137" s="317">
        <f>M137+AH137-Z137</f>
        <v/>
      </c>
      <c r="AF137" s="317">
        <f>P137+AI137-AB137</f>
        <v/>
      </c>
      <c r="AG137" s="131" t="n"/>
      <c r="AH137" s="131" t="n"/>
      <c r="AI137" s="131" t="n"/>
      <c r="AJ137" s="131" t="n"/>
      <c r="AK137" s="131" t="n"/>
      <c r="AL137" s="131" t="n"/>
      <c r="AM137" s="131" t="n"/>
      <c r="AN137" s="131" t="n"/>
      <c r="AO137" s="131" t="n"/>
    </row>
    <row r="138" ht="24" customFormat="1" customHeight="1" s="47">
      <c r="A138" s="208" t="n">
        <v>135</v>
      </c>
      <c r="B138" s="321" t="n"/>
      <c r="C138" s="212" t="inlineStr">
        <is>
          <t>电阻率测试</t>
        </is>
      </c>
      <c r="D138" s="208" t="inlineStr">
        <is>
          <t>四极法</t>
        </is>
      </c>
      <c r="E138" s="304" t="n"/>
      <c r="F138" s="208" t="inlineStr">
        <is>
          <t>L≤100</t>
        </is>
      </c>
      <c r="G138" s="312" t="inlineStr">
        <is>
          <t>点</t>
        </is>
      </c>
      <c r="H138" s="328" t="n"/>
      <c r="I138" s="312" t="n"/>
      <c r="J138" s="312" t="n"/>
      <c r="K138" s="312" t="n"/>
      <c r="L138" s="312" t="n"/>
      <c r="M138" s="313" t="n"/>
      <c r="N138" s="314">
        <f>H138*I138*M138</f>
        <v/>
      </c>
      <c r="O138" s="208" t="inlineStr">
        <is>
          <t>物探</t>
        </is>
      </c>
      <c r="P138" s="315" t="n"/>
      <c r="Q138" s="314">
        <f>N138*P138</f>
        <v/>
      </c>
      <c r="R138" s="314">
        <f>N138+Q138</f>
        <v/>
      </c>
      <c r="S138" s="312" t="inlineStr">
        <is>
          <t xml:space="preserve"> 表7.2-1</t>
        </is>
      </c>
      <c r="T138" s="312" t="n"/>
      <c r="U138" s="104" t="n"/>
      <c r="W138" s="154" t="n"/>
      <c r="X138" s="323">
        <f>30*0.8</f>
        <v/>
      </c>
      <c r="Y138" s="111" t="n"/>
      <c r="Z138" s="118" t="n">
        <v>1</v>
      </c>
      <c r="AA138" s="111" t="n"/>
      <c r="AB138" s="320">
        <f>VLOOKUP(O138,{"甲级","1.2";"乙级","1";"丙级","0.8";"物探","0.22"},2,0)</f>
        <v/>
      </c>
      <c r="AC138" s="111" t="n"/>
      <c r="AD138" s="317">
        <f>H138+AG138-X138</f>
        <v/>
      </c>
      <c r="AE138" s="317">
        <f>M138+AH138-Z138</f>
        <v/>
      </c>
      <c r="AF138" s="317">
        <f>P138+AI138-AB138</f>
        <v/>
      </c>
      <c r="AG138" s="131" t="n"/>
      <c r="AH138" s="131" t="n"/>
      <c r="AI138" s="131" t="n"/>
      <c r="AJ138" s="131" t="n"/>
      <c r="AK138" s="131" t="n"/>
      <c r="AL138" s="131" t="n"/>
      <c r="AM138" s="131" t="n"/>
      <c r="AN138" s="131" t="n"/>
      <c r="AO138" s="131" t="n"/>
    </row>
    <row r="139" ht="14.4" customFormat="1" customHeight="1" s="47">
      <c r="A139" s="208" t="n">
        <v>136</v>
      </c>
      <c r="B139" s="321" t="n"/>
      <c r="C139" s="209" t="inlineStr">
        <is>
          <t>钻孔波速测试</t>
        </is>
      </c>
      <c r="D139" s="210" t="inlineStr">
        <is>
          <t>深度D(m)</t>
        </is>
      </c>
      <c r="E139" s="210" t="inlineStr">
        <is>
          <t>D≤15</t>
        </is>
      </c>
      <c r="F139" s="208" t="inlineStr">
        <is>
          <t>单孔</t>
        </is>
      </c>
      <c r="G139" s="312" t="inlineStr">
        <is>
          <t>m</t>
        </is>
      </c>
      <c r="H139" s="318" t="n"/>
      <c r="I139" s="312" t="n">
        <v>60</v>
      </c>
      <c r="J139" s="312" t="n"/>
      <c r="K139" s="312" t="n"/>
      <c r="L139" s="312" t="n"/>
      <c r="M139" s="313" t="n"/>
      <c r="N139" s="314">
        <f>H139*I139*M139</f>
        <v/>
      </c>
      <c r="O139" s="208" t="inlineStr">
        <is>
          <t>物探</t>
        </is>
      </c>
      <c r="P139" s="315" t="n"/>
      <c r="Q139" s="314">
        <f>N139*P139</f>
        <v/>
      </c>
      <c r="R139" s="314">
        <f>N139+Q139</f>
        <v/>
      </c>
      <c r="S139" s="312" t="inlineStr">
        <is>
          <t xml:space="preserve"> 表7.2-1</t>
        </is>
      </c>
      <c r="T139" s="312" t="n"/>
      <c r="U139" s="104" t="n"/>
      <c r="W139" s="154" t="n"/>
      <c r="X139" s="323" t="n">
        <v>135</v>
      </c>
      <c r="Y139" s="111" t="n"/>
      <c r="Z139" s="118" t="n">
        <v>1</v>
      </c>
      <c r="AA139" s="111" t="n"/>
      <c r="AB139" s="320">
        <f>VLOOKUP(O139,{"甲级","1.2";"乙级","1";"丙级","0.8";"物探","0.22"},2,0)</f>
        <v/>
      </c>
      <c r="AC139" s="111" t="n"/>
      <c r="AD139" s="317">
        <f>H139+AG139-X139</f>
        <v/>
      </c>
      <c r="AE139" s="317">
        <f>M139+AH139-Z139</f>
        <v/>
      </c>
      <c r="AF139" s="317">
        <f>P139+AI139-AB139</f>
        <v/>
      </c>
      <c r="AG139" s="131" t="n"/>
      <c r="AH139" s="131" t="n"/>
      <c r="AI139" s="131" t="n"/>
      <c r="AJ139" s="131" t="n"/>
      <c r="AK139" s="131" t="n"/>
      <c r="AL139" s="131" t="n"/>
      <c r="AM139" s="131" t="n"/>
      <c r="AN139" s="131" t="n"/>
      <c r="AO139" s="131" t="n"/>
    </row>
    <row r="140" ht="14.4" customFormat="1" customHeight="1" s="47">
      <c r="A140" s="208" t="n">
        <v>137</v>
      </c>
      <c r="B140" s="321" t="n"/>
      <c r="C140" s="321" t="n"/>
      <c r="D140" s="321" t="n"/>
      <c r="E140" s="210" t="inlineStr">
        <is>
          <t>15＜D≤30</t>
        </is>
      </c>
      <c r="F140" s="208" t="inlineStr">
        <is>
          <t>单孔</t>
        </is>
      </c>
      <c r="G140" s="312" t="inlineStr">
        <is>
          <t>m</t>
        </is>
      </c>
      <c r="H140" s="318" t="n"/>
      <c r="I140" s="312" t="n">
        <v>20</v>
      </c>
      <c r="J140" s="312" t="n"/>
      <c r="K140" s="312" t="n"/>
      <c r="L140" s="312" t="n"/>
      <c r="M140" s="313" t="n"/>
      <c r="N140" s="314">
        <f>H140*I140*M140</f>
        <v/>
      </c>
      <c r="O140" s="208" t="inlineStr">
        <is>
          <t>物探</t>
        </is>
      </c>
      <c r="P140" s="315" t="n"/>
      <c r="Q140" s="314">
        <f>N140*P140</f>
        <v/>
      </c>
      <c r="R140" s="314">
        <f>N140+Q140</f>
        <v/>
      </c>
      <c r="S140" s="312" t="inlineStr">
        <is>
          <t xml:space="preserve"> 表7.2-1</t>
        </is>
      </c>
      <c r="T140" s="312" t="n"/>
      <c r="U140" s="104" t="n"/>
      <c r="W140" s="154" t="n"/>
      <c r="X140" s="323" t="n">
        <v>162</v>
      </c>
      <c r="Y140" s="111" t="n"/>
      <c r="Z140" s="118" t="n">
        <v>1</v>
      </c>
      <c r="AA140" s="111" t="n"/>
      <c r="AB140" s="320">
        <f>VLOOKUP(O140,{"甲级","1.2";"乙级","1";"丙级","0.8";"物探","0.22"},2,0)</f>
        <v/>
      </c>
      <c r="AC140" s="111" t="n"/>
      <c r="AD140" s="317">
        <f>H140+AG140-X140</f>
        <v/>
      </c>
      <c r="AE140" s="317">
        <f>M140+AH140-Z140</f>
        <v/>
      </c>
      <c r="AF140" s="317">
        <f>P140+AI140-AB140</f>
        <v/>
      </c>
      <c r="AG140" s="131" t="n"/>
      <c r="AH140" s="131" t="n"/>
      <c r="AI140" s="131" t="n"/>
      <c r="AJ140" s="131" t="n"/>
      <c r="AK140" s="131" t="n"/>
      <c r="AL140" s="131" t="n"/>
      <c r="AM140" s="131" t="n"/>
      <c r="AN140" s="131" t="n"/>
      <c r="AO140" s="131" t="n"/>
    </row>
    <row r="141" ht="14.4" customFormat="1" customHeight="1" s="47">
      <c r="A141" s="208" t="n">
        <v>138</v>
      </c>
      <c r="B141" s="321" t="n"/>
      <c r="C141" s="321" t="n"/>
      <c r="D141" s="321" t="n"/>
      <c r="E141" s="210" t="inlineStr">
        <is>
          <t>30＜D≤50</t>
        </is>
      </c>
      <c r="F141" s="208" t="inlineStr">
        <is>
          <t>单孔</t>
        </is>
      </c>
      <c r="G141" s="312" t="inlineStr">
        <is>
          <t>m</t>
        </is>
      </c>
      <c r="H141" s="318" t="n"/>
      <c r="I141" s="312" t="n"/>
      <c r="J141" s="312" t="n"/>
      <c r="K141" s="312" t="n"/>
      <c r="L141" s="312" t="n"/>
      <c r="M141" s="313" t="n"/>
      <c r="N141" s="314">
        <f>H141*I141*M141</f>
        <v/>
      </c>
      <c r="O141" s="208" t="inlineStr">
        <is>
          <t>物探</t>
        </is>
      </c>
      <c r="P141" s="315" t="n"/>
      <c r="Q141" s="314">
        <f>N141*P141</f>
        <v/>
      </c>
      <c r="R141" s="314">
        <f>N141+Q141</f>
        <v/>
      </c>
      <c r="S141" s="312" t="inlineStr">
        <is>
          <t xml:space="preserve"> 表7.2-1</t>
        </is>
      </c>
      <c r="T141" s="312" t="n"/>
      <c r="U141" s="104" t="n"/>
      <c r="W141" s="154" t="n"/>
      <c r="X141" s="323" t="n">
        <v>216</v>
      </c>
      <c r="Y141" s="111" t="n"/>
      <c r="Z141" s="118" t="n">
        <v>1</v>
      </c>
      <c r="AA141" s="111" t="n"/>
      <c r="AB141" s="320">
        <f>VLOOKUP(O141,{"甲级","1.2";"乙级","1";"丙级","0.8";"物探","0.22"},2,0)</f>
        <v/>
      </c>
      <c r="AC141" s="111" t="n"/>
      <c r="AD141" s="317">
        <f>H141+AG141-X141</f>
        <v/>
      </c>
      <c r="AE141" s="317">
        <f>M141+AH141-Z141</f>
        <v/>
      </c>
      <c r="AF141" s="317">
        <f>P141+AI141-AB141</f>
        <v/>
      </c>
      <c r="AG141" s="131" t="n"/>
      <c r="AH141" s="131" t="n"/>
      <c r="AI141" s="131" t="n"/>
      <c r="AJ141" s="131" t="n"/>
      <c r="AK141" s="131" t="n"/>
      <c r="AL141" s="131" t="n"/>
      <c r="AM141" s="131" t="n"/>
      <c r="AN141" s="131" t="n"/>
      <c r="AO141" s="131" t="n"/>
    </row>
    <row r="142" ht="24" customFormat="1" customHeight="1" s="47">
      <c r="A142" s="208" t="n">
        <v>139</v>
      </c>
      <c r="B142" s="321" t="n"/>
      <c r="C142" s="321" t="n"/>
      <c r="D142" s="321" t="n"/>
      <c r="E142" s="210" t="inlineStr">
        <is>
          <t>50＜D≤70</t>
        </is>
      </c>
      <c r="F142" s="208" t="inlineStr">
        <is>
          <t>单孔</t>
        </is>
      </c>
      <c r="G142" s="312" t="inlineStr">
        <is>
          <t>m</t>
        </is>
      </c>
      <c r="H142" s="318" t="n"/>
      <c r="I142" s="312" t="n"/>
      <c r="J142" s="312" t="n"/>
      <c r="K142" s="312" t="n"/>
      <c r="L142" s="312" t="inlineStr">
        <is>
          <t>超过50m每20m乘以1.3系数</t>
        </is>
      </c>
      <c r="M142" s="313" t="n"/>
      <c r="N142" s="314">
        <f>H142*I142*M142</f>
        <v/>
      </c>
      <c r="O142" s="208" t="inlineStr">
        <is>
          <t>物探</t>
        </is>
      </c>
      <c r="P142" s="315" t="n"/>
      <c r="Q142" s="314">
        <f>N142*P142</f>
        <v/>
      </c>
      <c r="R142" s="314">
        <f>N142+Q142</f>
        <v/>
      </c>
      <c r="S142" s="312" t="n"/>
      <c r="T142" s="312" t="n"/>
      <c r="U142" s="104" t="n"/>
      <c r="W142" s="154" t="n"/>
      <c r="X142" s="323" t="n">
        <v>280.8</v>
      </c>
      <c r="Y142" s="111" t="n"/>
      <c r="Z142" s="118" t="n">
        <v>1</v>
      </c>
      <c r="AA142" s="111" t="n"/>
      <c r="AB142" s="320">
        <f>VLOOKUP(O142,{"甲级","1.2";"乙级","1";"丙级","0.8";"物探","0.22"},2,0)</f>
        <v/>
      </c>
      <c r="AC142" s="111" t="n"/>
      <c r="AD142" s="317">
        <f>H142+AG142-X142</f>
        <v/>
      </c>
      <c r="AE142" s="317">
        <f>M142+AH142-Z142</f>
        <v/>
      </c>
      <c r="AF142" s="317">
        <f>P142+AI142-AB142</f>
        <v/>
      </c>
      <c r="AG142" s="131" t="n"/>
      <c r="AH142" s="131" t="n"/>
      <c r="AI142" s="131" t="n"/>
      <c r="AJ142" s="131" t="n"/>
      <c r="AK142" s="131" t="n"/>
      <c r="AL142" s="131" t="n"/>
      <c r="AM142" s="131" t="n"/>
      <c r="AN142" s="131" t="n"/>
      <c r="AO142" s="131" t="n"/>
    </row>
    <row r="143" ht="14.4" customFormat="1" customHeight="1" s="47">
      <c r="A143" s="208" t="n">
        <v>140</v>
      </c>
      <c r="B143" s="321" t="n"/>
      <c r="C143" s="321" t="n"/>
      <c r="D143" s="321" t="n"/>
      <c r="E143" s="210" t="inlineStr">
        <is>
          <t>70＜D≤90</t>
        </is>
      </c>
      <c r="F143" s="208" t="inlineStr">
        <is>
          <t>单孔</t>
        </is>
      </c>
      <c r="G143" s="312" t="inlineStr">
        <is>
          <t>m</t>
        </is>
      </c>
      <c r="H143" s="318" t="n"/>
      <c r="I143" s="312" t="n"/>
      <c r="J143" s="312" t="n"/>
      <c r="K143" s="312" t="n"/>
      <c r="L143" s="312" t="n"/>
      <c r="M143" s="313" t="n"/>
      <c r="N143" s="314">
        <f>H143*I143*M143</f>
        <v/>
      </c>
      <c r="O143" s="208" t="inlineStr">
        <is>
          <t>物探</t>
        </is>
      </c>
      <c r="P143" s="315" t="n"/>
      <c r="Q143" s="314">
        <f>N143*P143</f>
        <v/>
      </c>
      <c r="R143" s="314">
        <f>N143+Q143</f>
        <v/>
      </c>
      <c r="S143" s="312" t="n"/>
      <c r="T143" s="312" t="n"/>
      <c r="U143" s="104" t="n"/>
      <c r="W143" s="154" t="n"/>
      <c r="X143" s="323" t="n">
        <v>365.04</v>
      </c>
      <c r="Y143" s="111" t="n"/>
      <c r="Z143" s="118" t="n">
        <v>1</v>
      </c>
      <c r="AA143" s="111" t="n"/>
      <c r="AB143" s="320">
        <f>VLOOKUP(O143,{"甲级","1.2";"乙级","1";"丙级","0.8";"物探","0.22"},2,0)</f>
        <v/>
      </c>
      <c r="AC143" s="111" t="n"/>
      <c r="AD143" s="317">
        <f>H143+AG143-X143</f>
        <v/>
      </c>
      <c r="AE143" s="317">
        <f>M143+AH143-Z143</f>
        <v/>
      </c>
      <c r="AF143" s="317">
        <f>P143+AI143-AB143</f>
        <v/>
      </c>
      <c r="AG143" s="131" t="n"/>
      <c r="AH143" s="131" t="n"/>
      <c r="AI143" s="131" t="n"/>
      <c r="AJ143" s="131" t="n"/>
      <c r="AK143" s="131" t="n"/>
      <c r="AL143" s="131" t="n"/>
      <c r="AM143" s="131" t="n"/>
      <c r="AN143" s="131" t="n"/>
      <c r="AO143" s="131" t="n"/>
    </row>
    <row r="144" ht="14.4" customFormat="1" customHeight="1" s="47">
      <c r="A144" s="208" t="n">
        <v>141</v>
      </c>
      <c r="B144" s="321" t="n"/>
      <c r="C144" s="321" t="n"/>
      <c r="D144" s="321" t="n"/>
      <c r="E144" s="210" t="inlineStr">
        <is>
          <t>90＜D≤110</t>
        </is>
      </c>
      <c r="F144" s="208" t="inlineStr">
        <is>
          <t>单孔</t>
        </is>
      </c>
      <c r="G144" s="312" t="inlineStr">
        <is>
          <t>m</t>
        </is>
      </c>
      <c r="H144" s="318" t="n"/>
      <c r="I144" s="312" t="n"/>
      <c r="J144" s="312" t="n"/>
      <c r="K144" s="312" t="n"/>
      <c r="L144" s="312" t="n"/>
      <c r="M144" s="313" t="n"/>
      <c r="N144" s="314">
        <f>H144*I144*M144</f>
        <v/>
      </c>
      <c r="O144" s="208" t="inlineStr">
        <is>
          <t>物探</t>
        </is>
      </c>
      <c r="P144" s="315" t="n"/>
      <c r="Q144" s="314">
        <f>N144*P144</f>
        <v/>
      </c>
      <c r="R144" s="314">
        <f>N144+Q144</f>
        <v/>
      </c>
      <c r="S144" s="312" t="n"/>
      <c r="T144" s="312" t="n"/>
      <c r="U144" s="104" t="n"/>
      <c r="W144" s="154" t="n"/>
      <c r="X144" s="323" t="n">
        <v>474.552</v>
      </c>
      <c r="Y144" s="111" t="n"/>
      <c r="Z144" s="118" t="n">
        <v>1</v>
      </c>
      <c r="AA144" s="111" t="n"/>
      <c r="AB144" s="320">
        <f>VLOOKUP(O144,{"甲级","1.2";"乙级","1";"丙级","0.8";"物探","0.22"},2,0)</f>
        <v/>
      </c>
      <c r="AC144" s="111" t="n"/>
      <c r="AD144" s="317">
        <f>H144+AG144-X144</f>
        <v/>
      </c>
      <c r="AE144" s="317">
        <f>M144+AH144-Z144</f>
        <v/>
      </c>
      <c r="AF144" s="317">
        <f>P144+AI144-AB144</f>
        <v/>
      </c>
      <c r="AG144" s="131" t="n"/>
      <c r="AH144" s="131" t="n"/>
      <c r="AI144" s="131" t="n"/>
      <c r="AJ144" s="131" t="n"/>
      <c r="AK144" s="131" t="n"/>
      <c r="AL144" s="131" t="n"/>
      <c r="AM144" s="131" t="n"/>
      <c r="AN144" s="131" t="n"/>
      <c r="AO144" s="131" t="n"/>
    </row>
    <row r="145" ht="14.4" customFormat="1" customHeight="1" s="47">
      <c r="A145" s="208" t="n">
        <v>142</v>
      </c>
      <c r="B145" s="321" t="n"/>
      <c r="C145" s="321" t="n"/>
      <c r="D145" s="321" t="n"/>
      <c r="E145" s="210" t="inlineStr">
        <is>
          <t>110＜D≤130</t>
        </is>
      </c>
      <c r="F145" s="208" t="inlineStr">
        <is>
          <t>单孔</t>
        </is>
      </c>
      <c r="G145" s="312" t="inlineStr">
        <is>
          <t>m</t>
        </is>
      </c>
      <c r="H145" s="318" t="n"/>
      <c r="I145" s="312" t="n"/>
      <c r="J145" s="312" t="n"/>
      <c r="K145" s="312" t="n"/>
      <c r="L145" s="312" t="n"/>
      <c r="M145" s="313" t="n"/>
      <c r="N145" s="314">
        <f>H145*I145*M145</f>
        <v/>
      </c>
      <c r="O145" s="208" t="inlineStr">
        <is>
          <t>物探</t>
        </is>
      </c>
      <c r="P145" s="315" t="n"/>
      <c r="Q145" s="314">
        <f>N145*P145</f>
        <v/>
      </c>
      <c r="R145" s="314">
        <f>N145+Q145</f>
        <v/>
      </c>
      <c r="S145" s="312" t="n"/>
      <c r="T145" s="312" t="n"/>
      <c r="U145" s="104" t="n"/>
      <c r="W145" s="154" t="n"/>
      <c r="X145" s="323" t="n">
        <v>616.9176</v>
      </c>
      <c r="Y145" s="111" t="n"/>
      <c r="Z145" s="118" t="n">
        <v>1</v>
      </c>
      <c r="AA145" s="111" t="n"/>
      <c r="AB145" s="320">
        <f>VLOOKUP(O145,{"甲级","1.2";"乙级","1";"丙级","0.8";"物探","0.22"},2,0)</f>
        <v/>
      </c>
      <c r="AC145" s="111" t="n"/>
      <c r="AD145" s="317">
        <f>H145+AG145-X145</f>
        <v/>
      </c>
      <c r="AE145" s="317">
        <f>M145+AH145-Z145</f>
        <v/>
      </c>
      <c r="AF145" s="317">
        <f>P145+AI145-AB145</f>
        <v/>
      </c>
      <c r="AG145" s="131" t="n"/>
      <c r="AH145" s="131" t="n"/>
      <c r="AI145" s="131" t="n"/>
      <c r="AJ145" s="131" t="n"/>
      <c r="AK145" s="131" t="n"/>
      <c r="AL145" s="131" t="n"/>
      <c r="AM145" s="131" t="n"/>
      <c r="AN145" s="131" t="n"/>
      <c r="AO145" s="131" t="n"/>
    </row>
    <row r="146" ht="14.4" customFormat="1" customHeight="1" s="47">
      <c r="A146" s="208" t="n">
        <v>143</v>
      </c>
      <c r="B146" s="321" t="n"/>
      <c r="C146" s="321" t="n"/>
      <c r="D146" s="321" t="n"/>
      <c r="E146" s="210" t="inlineStr">
        <is>
          <t>130＜D≤150</t>
        </is>
      </c>
      <c r="F146" s="208" t="inlineStr">
        <is>
          <t>单孔</t>
        </is>
      </c>
      <c r="G146" s="312" t="inlineStr">
        <is>
          <t>m</t>
        </is>
      </c>
      <c r="H146" s="318" t="n"/>
      <c r="I146" s="312" t="n"/>
      <c r="J146" s="312" t="n"/>
      <c r="K146" s="312" t="n"/>
      <c r="L146" s="312" t="n"/>
      <c r="M146" s="313" t="n"/>
      <c r="N146" s="314">
        <f>H146*I146*M146</f>
        <v/>
      </c>
      <c r="O146" s="208" t="inlineStr">
        <is>
          <t>物探</t>
        </is>
      </c>
      <c r="P146" s="315" t="n"/>
      <c r="Q146" s="314">
        <f>N146*P146</f>
        <v/>
      </c>
      <c r="R146" s="314">
        <f>N146+Q146</f>
        <v/>
      </c>
      <c r="S146" s="312" t="n"/>
      <c r="T146" s="312" t="n"/>
      <c r="U146" s="104" t="n"/>
      <c r="W146" s="154" t="n"/>
      <c r="X146" s="323" t="n">
        <v>801.99288</v>
      </c>
      <c r="Y146" s="111" t="n"/>
      <c r="Z146" s="118" t="n">
        <v>1</v>
      </c>
      <c r="AA146" s="111" t="n"/>
      <c r="AB146" s="320">
        <f>VLOOKUP(O146,{"甲级","1.2";"乙级","1";"丙级","0.8";"物探","0.22"},2,0)</f>
        <v/>
      </c>
      <c r="AC146" s="111" t="n"/>
      <c r="AD146" s="317">
        <f>H146+AG146-X146</f>
        <v/>
      </c>
      <c r="AE146" s="317">
        <f>M146+AH146-Z146</f>
        <v/>
      </c>
      <c r="AF146" s="317">
        <f>P146+AI146-AB146</f>
        <v/>
      </c>
      <c r="AG146" s="131" t="n"/>
      <c r="AH146" s="131" t="n"/>
      <c r="AI146" s="131" t="n"/>
      <c r="AJ146" s="131" t="n"/>
      <c r="AK146" s="131" t="n"/>
      <c r="AL146" s="131" t="n"/>
      <c r="AM146" s="131" t="n"/>
      <c r="AN146" s="131" t="n"/>
      <c r="AO146" s="131" t="n"/>
    </row>
    <row r="147" ht="14.4" customFormat="1" customHeight="1" s="47">
      <c r="A147" s="208" t="n">
        <v>144</v>
      </c>
      <c r="B147" s="321" t="n"/>
      <c r="C147" s="321" t="n"/>
      <c r="D147" s="321" t="n"/>
      <c r="E147" s="210" t="inlineStr">
        <is>
          <t>150＜D≤170</t>
        </is>
      </c>
      <c r="F147" s="208" t="inlineStr">
        <is>
          <t>单孔</t>
        </is>
      </c>
      <c r="G147" s="312" t="inlineStr">
        <is>
          <t>m</t>
        </is>
      </c>
      <c r="H147" s="318" t="n"/>
      <c r="I147" s="312" t="n"/>
      <c r="J147" s="312" t="n"/>
      <c r="K147" s="312" t="n"/>
      <c r="L147" s="312" t="n"/>
      <c r="M147" s="313" t="n"/>
      <c r="N147" s="314">
        <f>H147*I147*M147</f>
        <v/>
      </c>
      <c r="O147" s="208" t="inlineStr">
        <is>
          <t>物探</t>
        </is>
      </c>
      <c r="P147" s="315" t="n"/>
      <c r="Q147" s="314">
        <f>N147*P147</f>
        <v/>
      </c>
      <c r="R147" s="314">
        <f>N147+Q147</f>
        <v/>
      </c>
      <c r="S147" s="312" t="n"/>
      <c r="T147" s="312" t="n"/>
      <c r="U147" s="104" t="n"/>
      <c r="W147" s="154" t="n"/>
      <c r="X147" s="323" t="n">
        <v>1042.590744</v>
      </c>
      <c r="Y147" s="111" t="n"/>
      <c r="Z147" s="118" t="n">
        <v>1</v>
      </c>
      <c r="AA147" s="111" t="n"/>
      <c r="AB147" s="320">
        <f>VLOOKUP(O147,{"甲级","1.2";"乙级","1";"丙级","0.8";"物探","0.22"},2,0)</f>
        <v/>
      </c>
      <c r="AC147" s="111" t="n"/>
      <c r="AD147" s="317">
        <f>H147+AG147-X147</f>
        <v/>
      </c>
      <c r="AE147" s="317">
        <f>M147+AH147-Z147</f>
        <v/>
      </c>
      <c r="AF147" s="317">
        <f>P147+AI147-AB147</f>
        <v/>
      </c>
      <c r="AG147" s="131" t="n"/>
      <c r="AH147" s="131" t="n"/>
      <c r="AI147" s="131" t="n"/>
      <c r="AJ147" s="131" t="n"/>
      <c r="AK147" s="131" t="n"/>
      <c r="AL147" s="131" t="n"/>
      <c r="AM147" s="131" t="n"/>
      <c r="AN147" s="131" t="n"/>
      <c r="AO147" s="131" t="n"/>
    </row>
    <row r="148" ht="14.4" customFormat="1" customHeight="1" s="47">
      <c r="A148" s="208" t="n">
        <v>145</v>
      </c>
      <c r="B148" s="321" t="n"/>
      <c r="C148" s="321" t="n"/>
      <c r="D148" s="321" t="n"/>
      <c r="E148" s="210" t="inlineStr">
        <is>
          <t>170＜D≤190</t>
        </is>
      </c>
      <c r="F148" s="208" t="inlineStr">
        <is>
          <t>单孔</t>
        </is>
      </c>
      <c r="G148" s="312" t="inlineStr">
        <is>
          <t>m</t>
        </is>
      </c>
      <c r="H148" s="318" t="n"/>
      <c r="I148" s="312" t="n"/>
      <c r="J148" s="312" t="n"/>
      <c r="K148" s="312" t="n"/>
      <c r="L148" s="312" t="n"/>
      <c r="M148" s="313" t="n"/>
      <c r="N148" s="314">
        <f>H148*I148*M148</f>
        <v/>
      </c>
      <c r="O148" s="208" t="inlineStr">
        <is>
          <t>物探</t>
        </is>
      </c>
      <c r="P148" s="315" t="n"/>
      <c r="Q148" s="314">
        <f>N148*P148</f>
        <v/>
      </c>
      <c r="R148" s="314">
        <f>N148+Q148</f>
        <v/>
      </c>
      <c r="S148" s="312" t="n"/>
      <c r="T148" s="312" t="n"/>
      <c r="U148" s="104" t="n"/>
      <c r="W148" s="154" t="n"/>
      <c r="X148" s="323" t="n">
        <v>1355.3679672</v>
      </c>
      <c r="Y148" s="111" t="n"/>
      <c r="Z148" s="118" t="n">
        <v>1</v>
      </c>
      <c r="AA148" s="111" t="n"/>
      <c r="AB148" s="320">
        <f>VLOOKUP(O148,{"甲级","1.2";"乙级","1";"丙级","0.8";"物探","0.22"},2,0)</f>
        <v/>
      </c>
      <c r="AC148" s="111" t="n"/>
      <c r="AD148" s="317">
        <f>H148+AG148-X148</f>
        <v/>
      </c>
      <c r="AE148" s="317">
        <f>M148+AH148-Z148</f>
        <v/>
      </c>
      <c r="AF148" s="317">
        <f>P148+AI148-AB148</f>
        <v/>
      </c>
      <c r="AG148" s="131" t="n"/>
      <c r="AH148" s="131" t="n"/>
      <c r="AI148" s="131" t="n"/>
      <c r="AJ148" s="131" t="n"/>
      <c r="AK148" s="131" t="n"/>
      <c r="AL148" s="131" t="n"/>
      <c r="AM148" s="131" t="n"/>
      <c r="AN148" s="131" t="n"/>
      <c r="AO148" s="131" t="n"/>
    </row>
    <row r="149" ht="14.4" customFormat="1" customHeight="1" s="47">
      <c r="A149" s="208" t="n">
        <v>146</v>
      </c>
      <c r="B149" s="321" t="n"/>
      <c r="C149" s="321" t="n"/>
      <c r="D149" s="321" t="n"/>
      <c r="E149" s="210" t="inlineStr">
        <is>
          <t>190＜D≤210</t>
        </is>
      </c>
      <c r="F149" s="208" t="inlineStr">
        <is>
          <t>单孔</t>
        </is>
      </c>
      <c r="G149" s="312" t="inlineStr">
        <is>
          <t>m</t>
        </is>
      </c>
      <c r="H149" s="318" t="n"/>
      <c r="I149" s="312" t="n"/>
      <c r="J149" s="312" t="n"/>
      <c r="K149" s="312" t="n"/>
      <c r="L149" s="312" t="n"/>
      <c r="M149" s="313" t="n"/>
      <c r="N149" s="314">
        <f>H149*I149*M149</f>
        <v/>
      </c>
      <c r="O149" s="208" t="inlineStr">
        <is>
          <t>物探</t>
        </is>
      </c>
      <c r="P149" s="315" t="n"/>
      <c r="Q149" s="314">
        <f>N149*P149</f>
        <v/>
      </c>
      <c r="R149" s="314">
        <f>N149+Q149</f>
        <v/>
      </c>
      <c r="S149" s="312" t="n"/>
      <c r="T149" s="312" t="n"/>
      <c r="U149" s="104" t="n"/>
      <c r="W149" s="154" t="n"/>
      <c r="X149" s="323" t="n">
        <v>1761.97835736</v>
      </c>
      <c r="Y149" s="111" t="n"/>
      <c r="Z149" s="118" t="n">
        <v>1</v>
      </c>
      <c r="AA149" s="111" t="n"/>
      <c r="AB149" s="320">
        <f>VLOOKUP(O149,{"甲级","1.2";"乙级","1";"丙级","0.8";"物探","0.22"},2,0)</f>
        <v/>
      </c>
      <c r="AC149" s="111" t="n"/>
      <c r="AD149" s="317">
        <f>H149+AG149-X149</f>
        <v/>
      </c>
      <c r="AE149" s="317">
        <f>M149+AH149-Z149</f>
        <v/>
      </c>
      <c r="AF149" s="317">
        <f>P149+AI149-AB149</f>
        <v/>
      </c>
      <c r="AG149" s="131" t="n"/>
      <c r="AH149" s="131" t="n"/>
      <c r="AI149" s="131" t="n"/>
      <c r="AJ149" s="131" t="n"/>
      <c r="AK149" s="131" t="n"/>
      <c r="AL149" s="131" t="n"/>
      <c r="AM149" s="131" t="n"/>
      <c r="AN149" s="131" t="n"/>
      <c r="AO149" s="131" t="n"/>
    </row>
    <row r="150" ht="14.4" customFormat="1" customHeight="1" s="47">
      <c r="A150" s="208" t="n">
        <v>147</v>
      </c>
      <c r="B150" s="321" t="n"/>
      <c r="C150" s="321" t="n"/>
      <c r="D150" s="321" t="n"/>
      <c r="E150" s="210" t="inlineStr">
        <is>
          <t>210＜D≤230</t>
        </is>
      </c>
      <c r="F150" s="208" t="inlineStr">
        <is>
          <t>单孔</t>
        </is>
      </c>
      <c r="G150" s="312" t="inlineStr">
        <is>
          <t>m</t>
        </is>
      </c>
      <c r="H150" s="318" t="n"/>
      <c r="I150" s="312" t="n"/>
      <c r="J150" s="312" t="n"/>
      <c r="K150" s="312" t="n"/>
      <c r="L150" s="312" t="n"/>
      <c r="M150" s="313" t="n"/>
      <c r="N150" s="314">
        <f>H150*I150*M150</f>
        <v/>
      </c>
      <c r="O150" s="208" t="inlineStr">
        <is>
          <t>物探</t>
        </is>
      </c>
      <c r="P150" s="315" t="n"/>
      <c r="Q150" s="314">
        <f>N150*P150</f>
        <v/>
      </c>
      <c r="R150" s="314">
        <f>N150+Q150</f>
        <v/>
      </c>
      <c r="S150" s="312" t="n"/>
      <c r="T150" s="312" t="n"/>
      <c r="U150" s="104" t="n"/>
      <c r="W150" s="154" t="n"/>
      <c r="X150" s="323" t="n">
        <v>2290.571864568</v>
      </c>
      <c r="Y150" s="111" t="n"/>
      <c r="Z150" s="118" t="n">
        <v>1</v>
      </c>
      <c r="AA150" s="111" t="n"/>
      <c r="AB150" s="320">
        <f>VLOOKUP(O150,{"甲级","1.2";"乙级","1";"丙级","0.8";"物探","0.22"},2,0)</f>
        <v/>
      </c>
      <c r="AC150" s="111" t="n"/>
      <c r="AD150" s="317">
        <f>H150+AG150-X150</f>
        <v/>
      </c>
      <c r="AE150" s="317">
        <f>M150+AH150-Z150</f>
        <v/>
      </c>
      <c r="AF150" s="317">
        <f>P150+AI150-AB150</f>
        <v/>
      </c>
      <c r="AG150" s="131" t="n"/>
      <c r="AH150" s="131" t="n"/>
      <c r="AI150" s="131" t="n"/>
      <c r="AJ150" s="131" t="n"/>
      <c r="AK150" s="131" t="n"/>
      <c r="AL150" s="131" t="n"/>
      <c r="AM150" s="131" t="n"/>
      <c r="AN150" s="131" t="n"/>
      <c r="AO150" s="131" t="n"/>
    </row>
    <row r="151" ht="14.4" customFormat="1" customHeight="1" s="47">
      <c r="A151" s="208" t="n">
        <v>148</v>
      </c>
      <c r="B151" s="321" t="n"/>
      <c r="C151" s="321" t="n"/>
      <c r="D151" s="321" t="n"/>
      <c r="E151" s="210" t="inlineStr">
        <is>
          <t>230＜D≤250</t>
        </is>
      </c>
      <c r="F151" s="208" t="inlineStr">
        <is>
          <t>单孔</t>
        </is>
      </c>
      <c r="G151" s="312" t="inlineStr">
        <is>
          <t>m</t>
        </is>
      </c>
      <c r="H151" s="318" t="n"/>
      <c r="I151" s="312" t="n"/>
      <c r="J151" s="312" t="n"/>
      <c r="K151" s="312" t="n"/>
      <c r="L151" s="312" t="n"/>
      <c r="M151" s="313" t="n"/>
      <c r="N151" s="314">
        <f>H151*I151*M151</f>
        <v/>
      </c>
      <c r="O151" s="208" t="inlineStr">
        <is>
          <t>物探</t>
        </is>
      </c>
      <c r="P151" s="315" t="n"/>
      <c r="Q151" s="314">
        <f>N151*P151</f>
        <v/>
      </c>
      <c r="R151" s="314">
        <f>N151+Q151</f>
        <v/>
      </c>
      <c r="S151" s="312" t="n"/>
      <c r="T151" s="312" t="n"/>
      <c r="U151" s="104" t="n"/>
      <c r="W151" s="154" t="n"/>
      <c r="X151" s="323" t="n">
        <v>2977.743423938401</v>
      </c>
      <c r="Y151" s="111" t="n"/>
      <c r="Z151" s="118" t="n">
        <v>1</v>
      </c>
      <c r="AA151" s="111" t="n"/>
      <c r="AB151" s="320">
        <f>VLOOKUP(O151,{"甲级","1.2";"乙级","1";"丙级","0.8";"物探","0.22"},2,0)</f>
        <v/>
      </c>
      <c r="AC151" s="111" t="n"/>
      <c r="AD151" s="317">
        <f>H151+AG151-X151</f>
        <v/>
      </c>
      <c r="AE151" s="317">
        <f>M151+AH151-Z151</f>
        <v/>
      </c>
      <c r="AF151" s="317">
        <f>P151+AI151-AB151</f>
        <v/>
      </c>
      <c r="AG151" s="131" t="n"/>
      <c r="AH151" s="131" t="n"/>
      <c r="AI151" s="131" t="n"/>
      <c r="AJ151" s="131" t="n"/>
      <c r="AK151" s="131" t="n"/>
      <c r="AL151" s="131" t="n"/>
      <c r="AM151" s="131" t="n"/>
      <c r="AN151" s="131" t="n"/>
      <c r="AO151" s="131" t="n"/>
    </row>
    <row r="152" ht="14.4" customFormat="1" customHeight="1" s="47">
      <c r="A152" s="208" t="n">
        <v>149</v>
      </c>
      <c r="B152" s="321" t="n"/>
      <c r="C152" s="321" t="n"/>
      <c r="D152" s="321" t="n"/>
      <c r="E152" s="210" t="inlineStr">
        <is>
          <t>250＜D≤270</t>
        </is>
      </c>
      <c r="F152" s="208" t="inlineStr">
        <is>
          <t>单孔</t>
        </is>
      </c>
      <c r="G152" s="312" t="inlineStr">
        <is>
          <t>m</t>
        </is>
      </c>
      <c r="H152" s="318" t="n"/>
      <c r="I152" s="312" t="n"/>
      <c r="J152" s="312" t="n"/>
      <c r="K152" s="312" t="n"/>
      <c r="L152" s="312" t="n"/>
      <c r="M152" s="313" t="n"/>
      <c r="N152" s="314">
        <f>H152*I152*M152</f>
        <v/>
      </c>
      <c r="O152" s="208" t="inlineStr">
        <is>
          <t>物探</t>
        </is>
      </c>
      <c r="P152" s="315" t="n"/>
      <c r="Q152" s="314">
        <f>N152*P152</f>
        <v/>
      </c>
      <c r="R152" s="314">
        <f>N152+Q152</f>
        <v/>
      </c>
      <c r="S152" s="312" t="n"/>
      <c r="T152" s="312" t="n"/>
      <c r="U152" s="104" t="n"/>
      <c r="W152" s="154" t="n"/>
      <c r="X152" s="323" t="n">
        <v>3871.066451119921</v>
      </c>
      <c r="Y152" s="111" t="n"/>
      <c r="Z152" s="118" t="n">
        <v>1</v>
      </c>
      <c r="AA152" s="111" t="n"/>
      <c r="AB152" s="320">
        <f>VLOOKUP(O152,{"甲级","1.2";"乙级","1";"丙级","0.8";"物探","0.22"},2,0)</f>
        <v/>
      </c>
      <c r="AC152" s="111" t="n"/>
      <c r="AD152" s="317">
        <f>H152+AG152-X152</f>
        <v/>
      </c>
      <c r="AE152" s="317">
        <f>M152+AH152-Z152</f>
        <v/>
      </c>
      <c r="AF152" s="317">
        <f>P152+AI152-AB152</f>
        <v/>
      </c>
      <c r="AG152" s="131" t="n"/>
      <c r="AH152" s="131" t="n"/>
      <c r="AI152" s="131" t="n"/>
      <c r="AJ152" s="131" t="n"/>
      <c r="AK152" s="131" t="n"/>
      <c r="AL152" s="131" t="n"/>
      <c r="AM152" s="131" t="n"/>
      <c r="AN152" s="131" t="n"/>
      <c r="AO152" s="131" t="n"/>
    </row>
    <row r="153" ht="14.4" customFormat="1" customHeight="1" s="47">
      <c r="A153" s="208" t="n">
        <v>150</v>
      </c>
      <c r="B153" s="321" t="n"/>
      <c r="C153" s="321" t="n"/>
      <c r="D153" s="321" t="n"/>
      <c r="E153" s="210" t="inlineStr">
        <is>
          <t>270＜D≤290</t>
        </is>
      </c>
      <c r="F153" s="208" t="inlineStr">
        <is>
          <t>单孔</t>
        </is>
      </c>
      <c r="G153" s="312" t="inlineStr">
        <is>
          <t>m</t>
        </is>
      </c>
      <c r="H153" s="318" t="n"/>
      <c r="I153" s="312" t="n"/>
      <c r="J153" s="312" t="n"/>
      <c r="K153" s="312" t="n"/>
      <c r="L153" s="312" t="n"/>
      <c r="M153" s="313" t="n"/>
      <c r="N153" s="314">
        <f>H153*I153*M153</f>
        <v/>
      </c>
      <c r="O153" s="208" t="inlineStr">
        <is>
          <t>物探</t>
        </is>
      </c>
      <c r="P153" s="315" t="n"/>
      <c r="Q153" s="314">
        <f>N153*P153</f>
        <v/>
      </c>
      <c r="R153" s="314">
        <f>N153+Q153</f>
        <v/>
      </c>
      <c r="S153" s="312" t="n"/>
      <c r="T153" s="312" t="n"/>
      <c r="U153" s="104" t="n"/>
      <c r="W153" s="154" t="n"/>
      <c r="X153" s="323" t="n">
        <v>5032.386386455898</v>
      </c>
      <c r="Y153" s="111" t="n"/>
      <c r="Z153" s="118" t="n">
        <v>1</v>
      </c>
      <c r="AA153" s="111" t="n"/>
      <c r="AB153" s="320">
        <f>VLOOKUP(O153,{"甲级","1.2";"乙级","1";"丙级","0.8";"物探","0.22"},2,0)</f>
        <v/>
      </c>
      <c r="AC153" s="111" t="n"/>
      <c r="AD153" s="317">
        <f>H153+AG153-X153</f>
        <v/>
      </c>
      <c r="AE153" s="317">
        <f>M153+AH153-Z153</f>
        <v/>
      </c>
      <c r="AF153" s="317">
        <f>P153+AI153-AB153</f>
        <v/>
      </c>
      <c r="AG153" s="131" t="n"/>
      <c r="AH153" s="131" t="n"/>
      <c r="AI153" s="131" t="n"/>
      <c r="AJ153" s="131" t="n"/>
      <c r="AK153" s="131" t="n"/>
      <c r="AL153" s="131" t="n"/>
      <c r="AM153" s="131" t="n"/>
      <c r="AN153" s="131" t="n"/>
      <c r="AO153" s="131" t="n"/>
    </row>
    <row r="154" ht="14.4" customFormat="1" customHeight="1" s="47">
      <c r="A154" s="208" t="n">
        <v>151</v>
      </c>
      <c r="B154" s="321" t="n"/>
      <c r="C154" s="321" t="n"/>
      <c r="D154" s="321" t="n"/>
      <c r="E154" s="210" t="inlineStr">
        <is>
          <t>290＜D≤310</t>
        </is>
      </c>
      <c r="F154" s="208" t="inlineStr">
        <is>
          <t>单孔</t>
        </is>
      </c>
      <c r="G154" s="312" t="inlineStr">
        <is>
          <t>m</t>
        </is>
      </c>
      <c r="H154" s="318" t="n"/>
      <c r="I154" s="312" t="n"/>
      <c r="J154" s="312" t="n"/>
      <c r="K154" s="312" t="n"/>
      <c r="L154" s="312" t="n"/>
      <c r="M154" s="313" t="n"/>
      <c r="N154" s="314">
        <f>H154*I154*M154</f>
        <v/>
      </c>
      <c r="O154" s="208" t="inlineStr">
        <is>
          <t>物探</t>
        </is>
      </c>
      <c r="P154" s="315" t="n"/>
      <c r="Q154" s="314">
        <f>N154*P154</f>
        <v/>
      </c>
      <c r="R154" s="314">
        <f>N154+Q154</f>
        <v/>
      </c>
      <c r="S154" s="312" t="n"/>
      <c r="T154" s="312" t="n"/>
      <c r="U154" s="104" t="n"/>
      <c r="W154" s="154" t="n"/>
      <c r="X154" s="323" t="n">
        <v>6542.102302392667</v>
      </c>
      <c r="Y154" s="111" t="n"/>
      <c r="Z154" s="118" t="n">
        <v>1</v>
      </c>
      <c r="AA154" s="111" t="n"/>
      <c r="AB154" s="320">
        <f>VLOOKUP(O154,{"甲级","1.2";"乙级","1";"丙级","0.8";"物探","0.22"},2,0)</f>
        <v/>
      </c>
      <c r="AC154" s="111" t="n"/>
      <c r="AD154" s="317">
        <f>H154+AG154-X154</f>
        <v/>
      </c>
      <c r="AE154" s="317">
        <f>M154+AH154-Z154</f>
        <v/>
      </c>
      <c r="AF154" s="317">
        <f>P154+AI154-AB154</f>
        <v/>
      </c>
      <c r="AG154" s="131" t="n"/>
      <c r="AH154" s="131" t="n"/>
      <c r="AI154" s="131" t="n"/>
      <c r="AJ154" s="131" t="n"/>
      <c r="AK154" s="131" t="n"/>
      <c r="AL154" s="131" t="n"/>
      <c r="AM154" s="131" t="n"/>
      <c r="AN154" s="131" t="n"/>
      <c r="AO154" s="131" t="n"/>
    </row>
    <row r="155" ht="14.4" customFormat="1" customHeight="1" s="47">
      <c r="A155" s="208" t="n">
        <v>152</v>
      </c>
      <c r="B155" s="321" t="n"/>
      <c r="C155" s="321" t="n"/>
      <c r="D155" s="321" t="n"/>
      <c r="E155" s="210" t="inlineStr">
        <is>
          <t>310＜D≤330</t>
        </is>
      </c>
      <c r="F155" s="208" t="inlineStr">
        <is>
          <t>单孔</t>
        </is>
      </c>
      <c r="G155" s="312" t="inlineStr">
        <is>
          <t>m</t>
        </is>
      </c>
      <c r="H155" s="318" t="n"/>
      <c r="I155" s="312" t="n"/>
      <c r="J155" s="312" t="n"/>
      <c r="K155" s="312" t="n"/>
      <c r="L155" s="312" t="n"/>
      <c r="M155" s="313" t="n"/>
      <c r="N155" s="314">
        <f>H155*I155*M155</f>
        <v/>
      </c>
      <c r="O155" s="208" t="inlineStr">
        <is>
          <t>物探</t>
        </is>
      </c>
      <c r="P155" s="315" t="n"/>
      <c r="Q155" s="314">
        <f>N155*P155</f>
        <v/>
      </c>
      <c r="R155" s="314">
        <f>N155+Q155</f>
        <v/>
      </c>
      <c r="S155" s="312" t="n"/>
      <c r="T155" s="312" t="n"/>
      <c r="U155" s="104" t="n"/>
      <c r="W155" s="154" t="n"/>
      <c r="X155" s="323" t="n">
        <v>8504.732993110469</v>
      </c>
      <c r="Y155" s="111" t="n"/>
      <c r="Z155" s="118" t="n">
        <v>1</v>
      </c>
      <c r="AA155" s="111" t="n"/>
      <c r="AB155" s="320">
        <f>VLOOKUP(O155,{"甲级","1.2";"乙级","1";"丙级","0.8";"物探","0.22"},2,0)</f>
        <v/>
      </c>
      <c r="AC155" s="111" t="n"/>
      <c r="AD155" s="317">
        <f>H155+AG155-X155</f>
        <v/>
      </c>
      <c r="AE155" s="317">
        <f>M155+AH155-Z155</f>
        <v/>
      </c>
      <c r="AF155" s="317">
        <f>P155+AI155-AB155</f>
        <v/>
      </c>
      <c r="AG155" s="131" t="n"/>
      <c r="AH155" s="131" t="n"/>
      <c r="AI155" s="131" t="n"/>
      <c r="AJ155" s="131" t="n"/>
      <c r="AK155" s="131" t="n"/>
      <c r="AL155" s="131" t="n"/>
      <c r="AM155" s="131" t="n"/>
      <c r="AN155" s="131" t="n"/>
      <c r="AO155" s="131" t="n"/>
    </row>
    <row r="156" ht="14.4" customFormat="1" customHeight="1" s="47">
      <c r="A156" s="208" t="n">
        <v>153</v>
      </c>
      <c r="B156" s="321" t="n"/>
      <c r="C156" s="321" t="n"/>
      <c r="D156" s="321" t="n"/>
      <c r="E156" s="210" t="inlineStr">
        <is>
          <t>330＜D≤350</t>
        </is>
      </c>
      <c r="F156" s="208" t="inlineStr">
        <is>
          <t>单孔</t>
        </is>
      </c>
      <c r="G156" s="312" t="inlineStr">
        <is>
          <t>m</t>
        </is>
      </c>
      <c r="H156" s="318" t="n"/>
      <c r="I156" s="312" t="n"/>
      <c r="J156" s="312" t="n"/>
      <c r="K156" s="312" t="n"/>
      <c r="L156" s="312" t="n"/>
      <c r="M156" s="313" t="n"/>
      <c r="N156" s="314">
        <f>H156*I156*M156</f>
        <v/>
      </c>
      <c r="O156" s="208" t="inlineStr">
        <is>
          <t>物探</t>
        </is>
      </c>
      <c r="P156" s="315" t="n"/>
      <c r="Q156" s="314">
        <f>N156*P156</f>
        <v/>
      </c>
      <c r="R156" s="314">
        <f>N156+Q156</f>
        <v/>
      </c>
      <c r="S156" s="312" t="n"/>
      <c r="T156" s="312" t="n"/>
      <c r="U156" s="104" t="n"/>
      <c r="W156" s="154" t="n"/>
      <c r="X156" s="323" t="n">
        <v>11056.15289104361</v>
      </c>
      <c r="Y156" s="111" t="n"/>
      <c r="Z156" s="118" t="n">
        <v>1</v>
      </c>
      <c r="AA156" s="111" t="n"/>
      <c r="AB156" s="320">
        <f>VLOOKUP(O156,{"甲级","1.2";"乙级","1";"丙级","0.8";"物探","0.22"},2,0)</f>
        <v/>
      </c>
      <c r="AC156" s="111" t="n"/>
      <c r="AD156" s="317">
        <f>H156+AG156-X156</f>
        <v/>
      </c>
      <c r="AE156" s="317">
        <f>M156+AH156-Z156</f>
        <v/>
      </c>
      <c r="AF156" s="317">
        <f>P156+AI156-AB156</f>
        <v/>
      </c>
      <c r="AG156" s="131" t="n"/>
      <c r="AH156" s="131" t="n"/>
      <c r="AI156" s="131" t="n"/>
      <c r="AJ156" s="131" t="n"/>
      <c r="AK156" s="131" t="n"/>
      <c r="AL156" s="131" t="n"/>
      <c r="AM156" s="131" t="n"/>
      <c r="AN156" s="131" t="n"/>
      <c r="AO156" s="131" t="n"/>
    </row>
    <row r="157" ht="14.4" customFormat="1" customHeight="1" s="47">
      <c r="A157" s="208" t="n">
        <v>154</v>
      </c>
      <c r="B157" s="321" t="n"/>
      <c r="C157" s="321" t="n"/>
      <c r="D157" s="321" t="n"/>
      <c r="E157" s="210" t="inlineStr">
        <is>
          <t>350＜D≤370</t>
        </is>
      </c>
      <c r="F157" s="208" t="inlineStr">
        <is>
          <t>单孔</t>
        </is>
      </c>
      <c r="G157" s="312" t="inlineStr">
        <is>
          <t>m</t>
        </is>
      </c>
      <c r="H157" s="318" t="n"/>
      <c r="I157" s="312" t="n"/>
      <c r="J157" s="312" t="n"/>
      <c r="K157" s="312" t="n"/>
      <c r="L157" s="312" t="n"/>
      <c r="M157" s="313" t="n"/>
      <c r="N157" s="314">
        <f>H157*I157*M157</f>
        <v/>
      </c>
      <c r="O157" s="208" t="inlineStr">
        <is>
          <t>物探</t>
        </is>
      </c>
      <c r="P157" s="315" t="n"/>
      <c r="Q157" s="314">
        <f>N157*P157</f>
        <v/>
      </c>
      <c r="R157" s="314">
        <f>N157+Q157</f>
        <v/>
      </c>
      <c r="S157" s="312" t="n"/>
      <c r="T157" s="312" t="n"/>
      <c r="U157" s="104" t="n"/>
      <c r="W157" s="154" t="n"/>
      <c r="X157" s="323" t="n">
        <v>14372.99875835669</v>
      </c>
      <c r="Y157" s="111" t="n"/>
      <c r="Z157" s="118" t="n">
        <v>1</v>
      </c>
      <c r="AA157" s="111" t="n"/>
      <c r="AB157" s="320">
        <f>VLOOKUP(O157,{"甲级","1.2";"乙级","1";"丙级","0.8";"物探","0.22"},2,0)</f>
        <v/>
      </c>
      <c r="AC157" s="111" t="n"/>
      <c r="AD157" s="317">
        <f>H157+AG157-X157</f>
        <v/>
      </c>
      <c r="AE157" s="317">
        <f>M157+AH157-Z157</f>
        <v/>
      </c>
      <c r="AF157" s="317">
        <f>P157+AI157-AB157</f>
        <v/>
      </c>
      <c r="AG157" s="131" t="n"/>
      <c r="AH157" s="131" t="n"/>
      <c r="AI157" s="131" t="n"/>
      <c r="AJ157" s="131" t="n"/>
      <c r="AK157" s="131" t="n"/>
      <c r="AL157" s="131" t="n"/>
      <c r="AM157" s="131" t="n"/>
      <c r="AN157" s="131" t="n"/>
      <c r="AO157" s="131" t="n"/>
    </row>
    <row r="158" ht="14.4" customFormat="1" customHeight="1" s="47">
      <c r="A158" s="208" t="n">
        <v>155</v>
      </c>
      <c r="B158" s="321" t="n"/>
      <c r="C158" s="321" t="n"/>
      <c r="D158" s="321" t="n"/>
      <c r="E158" s="210" t="inlineStr">
        <is>
          <t>370＜D≤390</t>
        </is>
      </c>
      <c r="F158" s="208" t="inlineStr">
        <is>
          <t>单孔</t>
        </is>
      </c>
      <c r="G158" s="312" t="inlineStr">
        <is>
          <t>m</t>
        </is>
      </c>
      <c r="H158" s="318" t="n"/>
      <c r="I158" s="312" t="n"/>
      <c r="J158" s="312" t="n"/>
      <c r="K158" s="312" t="n"/>
      <c r="L158" s="312" t="n"/>
      <c r="M158" s="313" t="n"/>
      <c r="N158" s="314">
        <f>H158*I158*M158</f>
        <v/>
      </c>
      <c r="O158" s="208" t="inlineStr">
        <is>
          <t>物探</t>
        </is>
      </c>
      <c r="P158" s="315" t="n"/>
      <c r="Q158" s="314">
        <f>N158*P158</f>
        <v/>
      </c>
      <c r="R158" s="314">
        <f>N158+Q158</f>
        <v/>
      </c>
      <c r="S158" s="312" t="n"/>
      <c r="T158" s="312" t="n"/>
      <c r="U158" s="104" t="n"/>
      <c r="W158" s="154" t="n"/>
      <c r="X158" s="323" t="n">
        <v>18684.8983858637</v>
      </c>
      <c r="Y158" s="111" t="n"/>
      <c r="Z158" s="118" t="n">
        <v>1</v>
      </c>
      <c r="AA158" s="111" t="n"/>
      <c r="AB158" s="320">
        <f>VLOOKUP(O158,{"甲级","1.2";"乙级","1";"丙级","0.8";"物探","0.22"},2,0)</f>
        <v/>
      </c>
      <c r="AC158" s="111" t="n"/>
      <c r="AD158" s="317">
        <f>H158+AG158-X158</f>
        <v/>
      </c>
      <c r="AE158" s="317">
        <f>M158+AH158-Z158</f>
        <v/>
      </c>
      <c r="AF158" s="317">
        <f>P158+AI158-AB158</f>
        <v/>
      </c>
      <c r="AG158" s="131" t="n"/>
      <c r="AH158" s="131" t="n"/>
      <c r="AI158" s="131" t="n"/>
      <c r="AJ158" s="131" t="n"/>
      <c r="AK158" s="131" t="n"/>
      <c r="AL158" s="131" t="n"/>
      <c r="AM158" s="131" t="n"/>
      <c r="AN158" s="131" t="n"/>
      <c r="AO158" s="131" t="n"/>
    </row>
    <row r="159" ht="14.4" customFormat="1" customHeight="1" s="47">
      <c r="A159" s="208" t="n">
        <v>156</v>
      </c>
      <c r="B159" s="321" t="n"/>
      <c r="C159" s="307" t="n"/>
      <c r="D159" s="307" t="n"/>
      <c r="E159" s="210" t="inlineStr">
        <is>
          <t>390＜D≤410</t>
        </is>
      </c>
      <c r="F159" s="208" t="inlineStr">
        <is>
          <t>单孔</t>
        </is>
      </c>
      <c r="G159" s="312" t="inlineStr">
        <is>
          <t>m</t>
        </is>
      </c>
      <c r="H159" s="318" t="n"/>
      <c r="I159" s="312" t="n"/>
      <c r="J159" s="312" t="n"/>
      <c r="K159" s="312" t="n"/>
      <c r="L159" s="312" t="n"/>
      <c r="M159" s="313" t="n"/>
      <c r="N159" s="314">
        <f>H159*I159*M159</f>
        <v/>
      </c>
      <c r="O159" s="208" t="inlineStr">
        <is>
          <t>物探</t>
        </is>
      </c>
      <c r="P159" s="315" t="n"/>
      <c r="Q159" s="314">
        <f>N159*P159</f>
        <v/>
      </c>
      <c r="R159" s="314">
        <f>N159+Q159</f>
        <v/>
      </c>
      <c r="S159" s="312" t="n"/>
      <c r="T159" s="312" t="n"/>
      <c r="U159" s="104" t="n"/>
      <c r="W159" s="154" t="n"/>
      <c r="X159" s="323" t="n">
        <v>24290.36790162281</v>
      </c>
      <c r="Y159" s="111" t="n"/>
      <c r="Z159" s="118" t="n">
        <v>1</v>
      </c>
      <c r="AA159" s="111" t="n"/>
      <c r="AB159" s="320">
        <f>VLOOKUP(O159,{"甲级","1.2";"乙级","1";"丙级","0.8";"物探","0.22"},2,0)</f>
        <v/>
      </c>
      <c r="AC159" s="111" t="n"/>
      <c r="AD159" s="317">
        <f>H159+AG159-X159</f>
        <v/>
      </c>
      <c r="AE159" s="317">
        <f>M159+AH159-Z159</f>
        <v/>
      </c>
      <c r="AF159" s="317">
        <f>P159+AI159-AB159</f>
        <v/>
      </c>
      <c r="AG159" s="131" t="n"/>
      <c r="AH159" s="131" t="n"/>
      <c r="AI159" s="131" t="n"/>
      <c r="AJ159" s="131" t="n"/>
      <c r="AK159" s="131" t="n"/>
      <c r="AL159" s="131" t="n"/>
      <c r="AM159" s="131" t="n"/>
      <c r="AN159" s="131" t="n"/>
      <c r="AO159" s="131" t="n"/>
    </row>
    <row r="160" ht="24" customFormat="1" customHeight="1" s="47">
      <c r="A160" s="208" t="n">
        <v>157</v>
      </c>
      <c r="B160" s="307" t="n"/>
      <c r="C160" s="209" t="inlineStr">
        <is>
          <t>场地微振动</t>
        </is>
      </c>
      <c r="D160" s="208" t="inlineStr">
        <is>
          <t>地面</t>
        </is>
      </c>
      <c r="E160" s="303" t="n"/>
      <c r="F160" s="304" t="n"/>
      <c r="G160" s="312" t="inlineStr">
        <is>
          <t>点</t>
        </is>
      </c>
      <c r="H160" s="318" t="n"/>
      <c r="I160" s="312" t="n"/>
      <c r="J160" s="312" t="n"/>
      <c r="K160" s="312" t="n"/>
      <c r="L160" s="312" t="n"/>
      <c r="M160" s="313" t="n"/>
      <c r="N160" s="314">
        <f>H160*I160*M160</f>
        <v/>
      </c>
      <c r="O160" s="208" t="inlineStr">
        <is>
          <t>物探</t>
        </is>
      </c>
      <c r="P160" s="315" t="n"/>
      <c r="Q160" s="314">
        <f>N160*P160</f>
        <v/>
      </c>
      <c r="R160" s="314">
        <f>N160+Q160</f>
        <v/>
      </c>
      <c r="S160" s="312" t="inlineStr">
        <is>
          <t xml:space="preserve"> 表7.2-1</t>
        </is>
      </c>
      <c r="T160" s="312" t="n"/>
      <c r="U160" s="104" t="n"/>
      <c r="W160" s="154" t="n"/>
      <c r="X160" s="323" t="n">
        <v>4500</v>
      </c>
      <c r="Y160" s="111" t="n"/>
      <c r="Z160" s="118" t="n">
        <v>1.3</v>
      </c>
      <c r="AA160" s="111" t="n"/>
      <c r="AB160" s="320">
        <f>VLOOKUP(O160,{"甲级","1.2";"乙级","1";"丙级","0.8";"物探","0.22"},2,0)</f>
        <v/>
      </c>
      <c r="AC160" s="111" t="n"/>
      <c r="AD160" s="317">
        <f>H160+AG160-X160</f>
        <v/>
      </c>
      <c r="AE160" s="317">
        <f>M160+AH160-Z160</f>
        <v/>
      </c>
      <c r="AF160" s="317">
        <f>P160+AI160-AB160</f>
        <v/>
      </c>
      <c r="AG160" s="131" t="n"/>
      <c r="AH160" s="131" t="n"/>
      <c r="AI160" s="131" t="n"/>
      <c r="AJ160" s="131" t="n"/>
      <c r="AK160" s="131" t="n"/>
      <c r="AL160" s="131" t="n"/>
      <c r="AM160" s="131" t="n"/>
      <c r="AN160" s="131" t="n"/>
      <c r="AO160" s="131" t="n"/>
    </row>
    <row r="161" ht="96" customFormat="1" customHeight="1" s="47">
      <c r="A161" s="208" t="n">
        <v>158</v>
      </c>
      <c r="B161" s="209" t="inlineStr">
        <is>
          <t>室内试验</t>
        </is>
      </c>
      <c r="C161" s="209" t="inlineStr">
        <is>
          <t>土工试验</t>
        </is>
      </c>
      <c r="D161" s="208" t="inlineStr">
        <is>
          <t>含水率</t>
        </is>
      </c>
      <c r="E161" s="304" t="n"/>
      <c r="F161" s="208" t="n"/>
      <c r="G161" s="312" t="inlineStr">
        <is>
          <t>件</t>
        </is>
      </c>
      <c r="H161" s="318" t="n"/>
      <c r="I161" s="312" t="n">
        <v>66</v>
      </c>
      <c r="J161" s="312" t="n"/>
      <c r="K161" s="312" t="n"/>
      <c r="L161" s="312" t="n"/>
      <c r="M161" s="313" t="n"/>
      <c r="N161" s="314">
        <f>H161*I161*M161</f>
        <v/>
      </c>
      <c r="O161" s="208" t="inlineStr">
        <is>
          <t>试验</t>
        </is>
      </c>
      <c r="P161" s="315" t="n"/>
      <c r="Q161" s="314">
        <f>N161*P161</f>
        <v/>
      </c>
      <c r="R161" s="314">
        <f>N161+Q161</f>
        <v/>
      </c>
      <c r="S161" s="312" t="inlineStr">
        <is>
          <t xml:space="preserve"> 表8.2-1</t>
        </is>
      </c>
      <c r="T161" s="312" t="n"/>
      <c r="U161" s="104" t="n"/>
      <c r="W161" s="154" t="n"/>
      <c r="X161" s="323" t="n">
        <v>8</v>
      </c>
      <c r="Y161" s="111" t="n"/>
      <c r="Z161" s="118" t="n">
        <v>1</v>
      </c>
      <c r="AA161" s="111" t="n"/>
      <c r="AB161" s="320">
        <f>VLOOKUP(O161,{"甲级","1.2";"乙级","1.0";"丙级","0.8";"试验","0.1"},2,0)</f>
        <v/>
      </c>
      <c r="AC161" s="110" t="inlineStr">
        <is>
          <t>【第一层】【系数】要素1：室内试验。
系数："甲级","1.2";"乙级","1.0";"丙级","0.8";"试验","0.1"</t>
        </is>
      </c>
      <c r="AD161" s="317">
        <f>H161+AG161-X161</f>
        <v/>
      </c>
      <c r="AE161" s="317">
        <f>M161+AH161-Z161</f>
        <v/>
      </c>
      <c r="AF161" s="317">
        <f>P161+AI161-AB161</f>
        <v/>
      </c>
      <c r="AG161" s="131" t="n"/>
      <c r="AH161" s="131" t="n"/>
      <c r="AI161" s="131" t="n"/>
      <c r="AJ161" s="131" t="n"/>
      <c r="AK161" s="131" t="n"/>
      <c r="AL161" s="131" t="n"/>
      <c r="AM161" s="131" t="n"/>
      <c r="AN161" s="131" t="n"/>
      <c r="AO161" s="131" t="n"/>
    </row>
    <row r="162" ht="14.4" customFormat="1" customHeight="1" s="47">
      <c r="A162" s="208" t="n">
        <v>159</v>
      </c>
      <c r="B162" s="321" t="n"/>
      <c r="C162" s="321" t="n"/>
      <c r="D162" s="208" t="inlineStr">
        <is>
          <t>密度</t>
        </is>
      </c>
      <c r="E162" s="225" t="inlineStr">
        <is>
          <t>环刀法</t>
        </is>
      </c>
      <c r="F162" s="208" t="n"/>
      <c r="G162" s="312" t="inlineStr">
        <is>
          <t>件</t>
        </is>
      </c>
      <c r="H162" s="318" t="n"/>
      <c r="I162" s="312" t="n">
        <v>66</v>
      </c>
      <c r="J162" s="312" t="n"/>
      <c r="K162" s="312" t="n"/>
      <c r="L162" s="312" t="n"/>
      <c r="M162" s="313" t="n"/>
      <c r="N162" s="314">
        <f>H162*I162*M162</f>
        <v/>
      </c>
      <c r="O162" s="208" t="inlineStr">
        <is>
          <t>试验</t>
        </is>
      </c>
      <c r="P162" s="315" t="n"/>
      <c r="Q162" s="314">
        <f>N162*P162</f>
        <v/>
      </c>
      <c r="R162" s="314">
        <f>N162+Q162</f>
        <v/>
      </c>
      <c r="S162" s="312" t="inlineStr">
        <is>
          <t xml:space="preserve"> 表8.2-1</t>
        </is>
      </c>
      <c r="T162" s="312" t="n"/>
      <c r="U162" s="104" t="n"/>
      <c r="W162" s="154" t="n"/>
      <c r="X162" s="323" t="n">
        <v>8</v>
      </c>
      <c r="Y162" s="111" t="n"/>
      <c r="Z162" s="118" t="n">
        <v>1</v>
      </c>
      <c r="AA162" s="111" t="n"/>
      <c r="AB162" s="320">
        <f>VLOOKUP(O162,{"甲级","1.2";"乙级","1.0";"丙级","0.8";"试验","0.1"},2,0)</f>
        <v/>
      </c>
      <c r="AC162" s="111" t="n"/>
      <c r="AD162" s="317">
        <f>H162+AG162-X162</f>
        <v/>
      </c>
      <c r="AE162" s="317">
        <f>M162+AH162-Z162</f>
        <v/>
      </c>
      <c r="AF162" s="317">
        <f>P162+AI162-AB162</f>
        <v/>
      </c>
      <c r="AG162" s="131" t="n"/>
      <c r="AH162" s="131" t="n"/>
      <c r="AI162" s="131" t="n"/>
      <c r="AJ162" s="131" t="n"/>
      <c r="AK162" s="131" t="n"/>
      <c r="AL162" s="131" t="n"/>
      <c r="AM162" s="131" t="n"/>
      <c r="AN162" s="131" t="n"/>
      <c r="AO162" s="131" t="n"/>
    </row>
    <row r="163" ht="14.4" customFormat="1" customHeight="1" s="47">
      <c r="A163" s="208" t="n">
        <v>160</v>
      </c>
      <c r="B163" s="321" t="n"/>
      <c r="C163" s="321" t="n"/>
      <c r="D163" s="208" t="inlineStr">
        <is>
          <t>比重</t>
        </is>
      </c>
      <c r="E163" s="225" t="n"/>
      <c r="F163" s="208" t="n"/>
      <c r="G163" s="312" t="inlineStr">
        <is>
          <t>件</t>
        </is>
      </c>
      <c r="H163" s="318" t="n"/>
      <c r="I163" s="312" t="n">
        <v>40</v>
      </c>
      <c r="J163" s="312" t="n"/>
      <c r="K163" s="312" t="n"/>
      <c r="L163" s="312" t="n"/>
      <c r="M163" s="313" t="n"/>
      <c r="N163" s="314">
        <f>H163*I163*M163</f>
        <v/>
      </c>
      <c r="O163" s="208" t="inlineStr">
        <is>
          <t>试验</t>
        </is>
      </c>
      <c r="P163" s="315" t="n"/>
      <c r="Q163" s="314">
        <f>N163*P163</f>
        <v/>
      </c>
      <c r="R163" s="314">
        <f>N163+Q163</f>
        <v/>
      </c>
      <c r="S163" s="312" t="inlineStr">
        <is>
          <t xml:space="preserve"> 表8.2-1</t>
        </is>
      </c>
      <c r="T163" s="312" t="n"/>
      <c r="U163" s="104" t="n"/>
      <c r="W163" s="154" t="n"/>
      <c r="X163" s="323" t="n">
        <v>19</v>
      </c>
      <c r="Y163" s="111" t="n"/>
      <c r="Z163" s="118" t="n">
        <v>1</v>
      </c>
      <c r="AA163" s="111" t="n"/>
      <c r="AB163" s="320">
        <f>VLOOKUP(O163,{"甲级","1.2";"乙级","1.0";"丙级","0.8";"试验","0.1"},2,0)</f>
        <v/>
      </c>
      <c r="AC163" s="111" t="n"/>
      <c r="AD163" s="317">
        <f>H163+AG163-X163</f>
        <v/>
      </c>
      <c r="AE163" s="317">
        <f>M163+AH163-Z163</f>
        <v/>
      </c>
      <c r="AF163" s="317">
        <f>P163+AI163-AB163</f>
        <v/>
      </c>
      <c r="AG163" s="131" t="n"/>
      <c r="AH163" s="131" t="n"/>
      <c r="AI163" s="131" t="n"/>
      <c r="AJ163" s="131" t="n"/>
      <c r="AK163" s="131" t="n"/>
      <c r="AL163" s="131" t="n"/>
      <c r="AM163" s="131" t="n"/>
      <c r="AN163" s="131" t="n"/>
      <c r="AO163" s="131" t="n"/>
    </row>
    <row r="164" ht="24" customFormat="1" customHeight="1" s="47">
      <c r="A164" s="208" t="n">
        <v>161</v>
      </c>
      <c r="B164" s="321" t="n"/>
      <c r="C164" s="321" t="n"/>
      <c r="D164" s="208" t="inlineStr">
        <is>
          <t>颗粒分析</t>
        </is>
      </c>
      <c r="E164" s="225" t="inlineStr">
        <is>
          <t>筛析法（沙、砾）</t>
        </is>
      </c>
      <c r="F164" s="208" t="n"/>
      <c r="G164" s="312" t="inlineStr">
        <is>
          <t>件</t>
        </is>
      </c>
      <c r="H164" s="318" t="n"/>
      <c r="I164" s="312" t="n">
        <v>40</v>
      </c>
      <c r="J164" s="312" t="n"/>
      <c r="K164" s="312" t="n"/>
      <c r="L164" s="312" t="n"/>
      <c r="M164" s="313" t="n"/>
      <c r="N164" s="314">
        <f>H164*I164*M164</f>
        <v/>
      </c>
      <c r="O164" s="208" t="inlineStr">
        <is>
          <t>试验</t>
        </is>
      </c>
      <c r="P164" s="315" t="n"/>
      <c r="Q164" s="314">
        <f>N164*P164</f>
        <v/>
      </c>
      <c r="R164" s="314">
        <f>N164+Q164</f>
        <v/>
      </c>
      <c r="S164" s="312" t="inlineStr">
        <is>
          <t xml:space="preserve"> 表8.2-1</t>
        </is>
      </c>
      <c r="T164" s="312" t="n"/>
      <c r="U164" s="104" t="n"/>
      <c r="W164" s="154" t="n"/>
      <c r="X164" s="323" t="n">
        <v>26</v>
      </c>
      <c r="Y164" s="111" t="n"/>
      <c r="Z164" s="118" t="n">
        <v>1</v>
      </c>
      <c r="AA164" s="111" t="n"/>
      <c r="AB164" s="320">
        <f>VLOOKUP(O164,{"甲级","1.2";"乙级","1.0";"丙级","0.8";"试验","0.1"},2,0)</f>
        <v/>
      </c>
      <c r="AC164" s="111" t="n"/>
      <c r="AD164" s="317">
        <f>H164+AG164-X164</f>
        <v/>
      </c>
      <c r="AE164" s="317">
        <f>M164+AH164-Z164</f>
        <v/>
      </c>
      <c r="AF164" s="317">
        <f>P164+AI164-AB164</f>
        <v/>
      </c>
      <c r="AG164" s="131" t="n"/>
      <c r="AH164" s="131" t="n"/>
      <c r="AI164" s="131" t="n"/>
      <c r="AJ164" s="131" t="n"/>
      <c r="AK164" s="131" t="n"/>
      <c r="AL164" s="131" t="n"/>
      <c r="AM164" s="131" t="n"/>
      <c r="AN164" s="131" t="n"/>
      <c r="AO164" s="131" t="n"/>
    </row>
    <row r="165" ht="24" customFormat="1" customHeight="1" s="47">
      <c r="A165" s="208" t="n">
        <v>162</v>
      </c>
      <c r="B165" s="321" t="n"/>
      <c r="C165" s="321" t="n"/>
      <c r="D165" s="208" t="n"/>
      <c r="E165" s="225" t="inlineStr">
        <is>
          <t>筛析法（含粘性土）</t>
        </is>
      </c>
      <c r="F165" s="208" t="n"/>
      <c r="G165" s="312" t="inlineStr">
        <is>
          <t>件</t>
        </is>
      </c>
      <c r="H165" s="318" t="n"/>
      <c r="I165" s="312" t="n"/>
      <c r="J165" s="312" t="n"/>
      <c r="K165" s="312" t="n"/>
      <c r="L165" s="312" t="n"/>
      <c r="M165" s="313" t="n"/>
      <c r="N165" s="314">
        <f>H165*I165*M165</f>
        <v/>
      </c>
      <c r="O165" s="208" t="inlineStr">
        <is>
          <t>试验</t>
        </is>
      </c>
      <c r="P165" s="315" t="n"/>
      <c r="Q165" s="314">
        <f>N165*P165</f>
        <v/>
      </c>
      <c r="R165" s="314">
        <f>N165+Q165</f>
        <v/>
      </c>
      <c r="S165" s="312" t="inlineStr">
        <is>
          <t xml:space="preserve"> 表8.2-1</t>
        </is>
      </c>
      <c r="T165" s="312" t="n"/>
      <c r="U165" s="104" t="n"/>
      <c r="W165" s="154" t="n"/>
      <c r="X165" s="323" t="n">
        <v>40</v>
      </c>
      <c r="Y165" s="111" t="n"/>
      <c r="Z165" s="118" t="n">
        <v>1</v>
      </c>
      <c r="AA165" s="111" t="n"/>
      <c r="AB165" s="320">
        <f>VLOOKUP(O165,{"甲级","1.2";"乙级","1.0";"丙级","0.8";"试验","0.1"},2,0)</f>
        <v/>
      </c>
      <c r="AC165" s="111" t="n"/>
      <c r="AD165" s="317">
        <f>H165+AG165-X165</f>
        <v/>
      </c>
      <c r="AE165" s="317">
        <f>M165+AH165-Z165</f>
        <v/>
      </c>
      <c r="AF165" s="317">
        <f>P165+AI165-AB165</f>
        <v/>
      </c>
      <c r="AG165" s="131" t="n"/>
      <c r="AH165" s="131" t="n"/>
      <c r="AI165" s="131" t="n"/>
      <c r="AJ165" s="131" t="n"/>
      <c r="AK165" s="131" t="n"/>
      <c r="AL165" s="131" t="n"/>
      <c r="AM165" s="131" t="n"/>
      <c r="AN165" s="131" t="n"/>
      <c r="AO165" s="131" t="n"/>
    </row>
    <row r="166" ht="14.4" customFormat="1" customHeight="1" s="47">
      <c r="A166" s="208" t="n">
        <v>163</v>
      </c>
      <c r="B166" s="321" t="n"/>
      <c r="C166" s="321" t="n"/>
      <c r="D166" s="208" t="inlineStr">
        <is>
          <t>液限</t>
        </is>
      </c>
      <c r="E166" s="216" t="inlineStr">
        <is>
          <t>碟式仪法</t>
        </is>
      </c>
      <c r="F166" s="208" t="n"/>
      <c r="G166" s="312" t="inlineStr">
        <is>
          <t>件</t>
        </is>
      </c>
      <c r="H166" s="318" t="n"/>
      <c r="I166" s="312" t="n"/>
      <c r="J166" s="312" t="n"/>
      <c r="K166" s="312" t="n"/>
      <c r="L166" s="312" t="n"/>
      <c r="M166" s="313" t="n"/>
      <c r="N166" s="314">
        <f>H166*I166*M166</f>
        <v/>
      </c>
      <c r="O166" s="208" t="inlineStr">
        <is>
          <t>试验</t>
        </is>
      </c>
      <c r="P166" s="315" t="n"/>
      <c r="Q166" s="314">
        <f>N166*P166</f>
        <v/>
      </c>
      <c r="R166" s="314">
        <f>N166+Q166</f>
        <v/>
      </c>
      <c r="S166" s="312" t="inlineStr">
        <is>
          <t xml:space="preserve"> 表8.2-1</t>
        </is>
      </c>
      <c r="T166" s="312" t="n"/>
      <c r="U166" s="104" t="n"/>
      <c r="W166" s="154" t="n"/>
      <c r="X166" s="323" t="n">
        <v>23</v>
      </c>
      <c r="Y166" s="111" t="n"/>
      <c r="Z166" s="118" t="n">
        <v>1</v>
      </c>
      <c r="AA166" s="111" t="n"/>
      <c r="AB166" s="320">
        <f>VLOOKUP(O166,{"甲级","1.2";"乙级","1.0";"丙级","0.8";"试验","0.1"},2,0)</f>
        <v/>
      </c>
      <c r="AC166" s="111" t="n"/>
      <c r="AD166" s="317">
        <f>H166+AG166-X166</f>
        <v/>
      </c>
      <c r="AE166" s="317">
        <f>M166+AH166-Z166</f>
        <v/>
      </c>
      <c r="AF166" s="317">
        <f>P166+AI166-AB166</f>
        <v/>
      </c>
      <c r="AG166" s="131" t="n"/>
      <c r="AH166" s="131" t="n"/>
      <c r="AI166" s="131" t="n"/>
      <c r="AJ166" s="131" t="n"/>
      <c r="AK166" s="131" t="n"/>
      <c r="AL166" s="131" t="n"/>
      <c r="AM166" s="131" t="n"/>
      <c r="AN166" s="131" t="n"/>
      <c r="AO166" s="131" t="n"/>
    </row>
    <row r="167" ht="14.4" customFormat="1" customHeight="1" s="47">
      <c r="A167" s="208" t="n">
        <v>164</v>
      </c>
      <c r="B167" s="321" t="n"/>
      <c r="C167" s="321" t="n"/>
      <c r="D167" s="307" t="n"/>
      <c r="E167" s="216" t="inlineStr">
        <is>
          <t>圆锥仪法</t>
        </is>
      </c>
      <c r="F167" s="208" t="n"/>
      <c r="G167" s="312" t="inlineStr">
        <is>
          <t>件</t>
        </is>
      </c>
      <c r="H167" s="318" t="n"/>
      <c r="I167" s="312" t="n">
        <v>66</v>
      </c>
      <c r="J167" s="312" t="n"/>
      <c r="K167" s="312" t="n"/>
      <c r="L167" s="312" t="n"/>
      <c r="M167" s="313" t="n"/>
      <c r="N167" s="314">
        <f>H167*I167*M167</f>
        <v/>
      </c>
      <c r="O167" s="208" t="inlineStr">
        <is>
          <t>试验</t>
        </is>
      </c>
      <c r="P167" s="315" t="n"/>
      <c r="Q167" s="314">
        <f>N167*P167</f>
        <v/>
      </c>
      <c r="R167" s="314">
        <f>N167+Q167</f>
        <v/>
      </c>
      <c r="S167" s="312" t="inlineStr">
        <is>
          <t xml:space="preserve"> 表8.2-1</t>
        </is>
      </c>
      <c r="T167" s="312" t="n"/>
      <c r="U167" s="104" t="n"/>
      <c r="W167" s="154" t="n"/>
      <c r="X167" s="323" t="n">
        <v>15</v>
      </c>
      <c r="Y167" s="111" t="n"/>
      <c r="Z167" s="118" t="n">
        <v>1</v>
      </c>
      <c r="AA167" s="111" t="n"/>
      <c r="AB167" s="320">
        <f>VLOOKUP(O167,{"甲级","1.2";"乙级","1.0";"丙级","0.8";"试验","0.1"},2,0)</f>
        <v/>
      </c>
      <c r="AC167" s="111" t="n"/>
      <c r="AD167" s="317">
        <f>H167+AG167-X167</f>
        <v/>
      </c>
      <c r="AE167" s="317">
        <f>M167+AH167-Z167</f>
        <v/>
      </c>
      <c r="AF167" s="317">
        <f>P167+AI167-AB167</f>
        <v/>
      </c>
      <c r="AG167" s="131" t="n"/>
      <c r="AH167" s="131" t="n"/>
      <c r="AI167" s="131" t="n"/>
      <c r="AJ167" s="131" t="n"/>
      <c r="AK167" s="131" t="n"/>
      <c r="AL167" s="131" t="n"/>
      <c r="AM167" s="131" t="n"/>
      <c r="AN167" s="131" t="n"/>
      <c r="AO167" s="131" t="n"/>
    </row>
    <row r="168" ht="14.4" customFormat="1" customHeight="1" s="47">
      <c r="A168" s="208" t="n">
        <v>165</v>
      </c>
      <c r="B168" s="321" t="n"/>
      <c r="C168" s="321" t="n"/>
      <c r="D168" s="208" t="inlineStr">
        <is>
          <t>塑限</t>
        </is>
      </c>
      <c r="E168" s="225" t="n"/>
      <c r="F168" s="208" t="n"/>
      <c r="G168" s="312" t="inlineStr">
        <is>
          <t>件</t>
        </is>
      </c>
      <c r="H168" s="318" t="n"/>
      <c r="I168" s="312" t="n">
        <v>66</v>
      </c>
      <c r="J168" s="312" t="n"/>
      <c r="K168" s="312" t="n"/>
      <c r="L168" s="312" t="n"/>
      <c r="M168" s="313" t="n"/>
      <c r="N168" s="314">
        <f>H168*I168*M168</f>
        <v/>
      </c>
      <c r="O168" s="208" t="inlineStr">
        <is>
          <t>试验</t>
        </is>
      </c>
      <c r="P168" s="315" t="n"/>
      <c r="Q168" s="314">
        <f>N168*P168</f>
        <v/>
      </c>
      <c r="R168" s="314">
        <f>N168+Q168</f>
        <v/>
      </c>
      <c r="S168" s="312" t="inlineStr">
        <is>
          <t xml:space="preserve"> 表8.2-1</t>
        </is>
      </c>
      <c r="T168" s="312" t="n"/>
      <c r="U168" s="104" t="n"/>
      <c r="W168" s="154" t="n"/>
      <c r="X168" s="323" t="n">
        <v>30</v>
      </c>
      <c r="Y168" s="111" t="n"/>
      <c r="Z168" s="118" t="n">
        <v>1</v>
      </c>
      <c r="AA168" s="111" t="n"/>
      <c r="AB168" s="320">
        <f>VLOOKUP(O168,{"甲级","1.2";"乙级","1.0";"丙级","0.8";"试验","0.1"},2,0)</f>
        <v/>
      </c>
      <c r="AC168" s="111" t="n"/>
      <c r="AD168" s="317">
        <f>H168+AG168-X168</f>
        <v/>
      </c>
      <c r="AE168" s="317">
        <f>M168+AH168-Z168</f>
        <v/>
      </c>
      <c r="AF168" s="317">
        <f>P168+AI168-AB168</f>
        <v/>
      </c>
      <c r="AG168" s="131" t="n"/>
      <c r="AH168" s="131" t="n"/>
      <c r="AI168" s="131" t="n"/>
      <c r="AJ168" s="131" t="n"/>
      <c r="AK168" s="131" t="n"/>
      <c r="AL168" s="131" t="n"/>
      <c r="AM168" s="131" t="n"/>
      <c r="AN168" s="131" t="n"/>
      <c r="AO168" s="131" t="n"/>
    </row>
    <row r="169" ht="14.4" customFormat="1" customHeight="1" s="47">
      <c r="A169" s="208" t="n">
        <v>166</v>
      </c>
      <c r="B169" s="321" t="n"/>
      <c r="C169" s="321" t="n"/>
      <c r="D169" s="222" t="inlineStr">
        <is>
          <t>击实</t>
        </is>
      </c>
      <c r="E169" s="216" t="inlineStr">
        <is>
          <t>轻型击实法</t>
        </is>
      </c>
      <c r="F169" s="208" t="n"/>
      <c r="G169" s="312" t="inlineStr">
        <is>
          <t>件</t>
        </is>
      </c>
      <c r="H169" s="318" t="n"/>
      <c r="I169" s="312" t="n"/>
      <c r="J169" s="312" t="n"/>
      <c r="K169" s="312" t="n"/>
      <c r="L169" s="312" t="n"/>
      <c r="M169" s="313" t="n"/>
      <c r="N169" s="314">
        <f>H169*I169*M169</f>
        <v/>
      </c>
      <c r="O169" s="208" t="inlineStr">
        <is>
          <t>试验</t>
        </is>
      </c>
      <c r="P169" s="315" t="n"/>
      <c r="Q169" s="314">
        <f>N169*P169</f>
        <v/>
      </c>
      <c r="R169" s="314">
        <f>N169+Q169</f>
        <v/>
      </c>
      <c r="S169" s="312" t="inlineStr">
        <is>
          <t xml:space="preserve"> 表8.2-1</t>
        </is>
      </c>
      <c r="T169" s="312" t="n"/>
      <c r="U169" s="104" t="n"/>
      <c r="W169" s="154" t="n"/>
      <c r="X169" s="323" t="n">
        <v>319</v>
      </c>
      <c r="Y169" s="111" t="n"/>
      <c r="Z169" s="118" t="n">
        <v>1</v>
      </c>
      <c r="AA169" s="111" t="n"/>
      <c r="AB169" s="320">
        <f>VLOOKUP(O169,{"甲级","1.2";"乙级","1.0";"丙级","0.8";"试验","0.1"},2,0)</f>
        <v/>
      </c>
      <c r="AC169" s="111" t="n"/>
      <c r="AD169" s="317">
        <f>H169+AG169-X169</f>
        <v/>
      </c>
      <c r="AE169" s="317">
        <f>M169+AH169-Z169</f>
        <v/>
      </c>
      <c r="AF169" s="317">
        <f>P169+AI169-AB169</f>
        <v/>
      </c>
      <c r="AG169" s="131" t="n"/>
      <c r="AH169" s="131" t="n"/>
      <c r="AI169" s="131" t="n"/>
      <c r="AJ169" s="131" t="n"/>
      <c r="AK169" s="131" t="n"/>
      <c r="AL169" s="131" t="n"/>
      <c r="AM169" s="131" t="n"/>
      <c r="AN169" s="131" t="n"/>
      <c r="AO169" s="131" t="n"/>
    </row>
    <row r="170" ht="14.4" customFormat="1" customHeight="1" s="47">
      <c r="A170" s="208" t="n">
        <v>167</v>
      </c>
      <c r="B170" s="321" t="n"/>
      <c r="C170" s="321" t="n"/>
      <c r="D170" s="307" t="n"/>
      <c r="E170" s="216" t="inlineStr">
        <is>
          <t>重型击实法</t>
        </is>
      </c>
      <c r="F170" s="208" t="n"/>
      <c r="G170" s="312" t="inlineStr">
        <is>
          <t>件</t>
        </is>
      </c>
      <c r="H170" s="318" t="n"/>
      <c r="I170" s="312" t="n"/>
      <c r="J170" s="312" t="n"/>
      <c r="K170" s="312" t="n"/>
      <c r="L170" s="312" t="n"/>
      <c r="M170" s="313" t="n"/>
      <c r="N170" s="314">
        <f>H170*I170*M170</f>
        <v/>
      </c>
      <c r="O170" s="208" t="inlineStr">
        <is>
          <t>试验</t>
        </is>
      </c>
      <c r="P170" s="315" t="n"/>
      <c r="Q170" s="314">
        <f>N170*P170</f>
        <v/>
      </c>
      <c r="R170" s="314">
        <f>N170+Q170</f>
        <v/>
      </c>
      <c r="S170" s="312" t="inlineStr">
        <is>
          <t xml:space="preserve"> 表8.2-1</t>
        </is>
      </c>
      <c r="T170" s="312" t="n"/>
      <c r="U170" s="104" t="n"/>
      <c r="W170" s="154" t="n"/>
      <c r="X170" s="323" t="n">
        <v>638</v>
      </c>
      <c r="Y170" s="111" t="n"/>
      <c r="Z170" s="118" t="n">
        <v>1</v>
      </c>
      <c r="AA170" s="111" t="n"/>
      <c r="AB170" s="320">
        <f>VLOOKUP(O170,{"甲级","1.2";"乙级","1.0";"丙级","0.8";"试验","0.1"},2,0)</f>
        <v/>
      </c>
      <c r="AC170" s="111" t="n"/>
      <c r="AD170" s="317">
        <f>H170+AG170-X170</f>
        <v/>
      </c>
      <c r="AE170" s="317">
        <f>M170+AH170-Z170</f>
        <v/>
      </c>
      <c r="AF170" s="317">
        <f>P170+AI170-AB170</f>
        <v/>
      </c>
      <c r="AG170" s="131" t="n"/>
      <c r="AH170" s="131" t="n"/>
      <c r="AI170" s="131" t="n"/>
      <c r="AJ170" s="131" t="n"/>
      <c r="AK170" s="131" t="n"/>
      <c r="AL170" s="131" t="n"/>
      <c r="AM170" s="131" t="n"/>
      <c r="AN170" s="131" t="n"/>
      <c r="AO170" s="131" t="n"/>
    </row>
    <row r="171" ht="14.4" customFormat="1" customHeight="1" s="47">
      <c r="A171" s="208" t="n">
        <v>168</v>
      </c>
      <c r="B171" s="321" t="n"/>
      <c r="C171" s="321" t="n"/>
      <c r="D171" s="222" t="inlineStr">
        <is>
          <t>渗透</t>
        </is>
      </c>
      <c r="E171" s="216" t="inlineStr">
        <is>
          <t>粘土、粉土类</t>
        </is>
      </c>
      <c r="F171" s="208" t="n"/>
      <c r="G171" s="312" t="inlineStr">
        <is>
          <t>件</t>
        </is>
      </c>
      <c r="H171" s="318" t="n"/>
      <c r="I171" s="312" t="n"/>
      <c r="J171" s="312" t="n"/>
      <c r="K171" s="312" t="n"/>
      <c r="L171" s="312" t="n"/>
      <c r="M171" s="313" t="n"/>
      <c r="N171" s="314">
        <f>H171*I171*M171</f>
        <v/>
      </c>
      <c r="O171" s="208" t="inlineStr">
        <is>
          <t>试验</t>
        </is>
      </c>
      <c r="P171" s="315" t="n"/>
      <c r="Q171" s="314">
        <f>N171*P171</f>
        <v/>
      </c>
      <c r="R171" s="314">
        <f>N171+Q171</f>
        <v/>
      </c>
      <c r="S171" s="312" t="inlineStr">
        <is>
          <t xml:space="preserve"> 表8.2-1</t>
        </is>
      </c>
      <c r="T171" s="312" t="n"/>
      <c r="U171" s="104" t="n"/>
      <c r="W171" s="154" t="n"/>
      <c r="X171" s="323" t="n">
        <v>55</v>
      </c>
      <c r="Y171" s="111" t="n"/>
      <c r="Z171" s="118" t="n">
        <v>1</v>
      </c>
      <c r="AA171" s="111" t="n"/>
      <c r="AB171" s="320">
        <f>VLOOKUP(O171,{"甲级","1.2";"乙级","1.0";"丙级","0.8";"试验","0.1"},2,0)</f>
        <v/>
      </c>
      <c r="AC171" s="111" t="n"/>
      <c r="AD171" s="317">
        <f>H171+AG171-X171</f>
        <v/>
      </c>
      <c r="AE171" s="317">
        <f>M171+AH171-Z171</f>
        <v/>
      </c>
      <c r="AF171" s="317">
        <f>P171+AI171-AB171</f>
        <v/>
      </c>
      <c r="AG171" s="131" t="n"/>
      <c r="AH171" s="131" t="n"/>
      <c r="AI171" s="131" t="n"/>
      <c r="AJ171" s="131" t="n"/>
      <c r="AK171" s="131" t="n"/>
      <c r="AL171" s="131" t="n"/>
      <c r="AM171" s="131" t="n"/>
      <c r="AN171" s="131" t="n"/>
      <c r="AO171" s="131" t="n"/>
    </row>
    <row r="172" ht="14.4" customFormat="1" customHeight="1" s="47">
      <c r="A172" s="208" t="n">
        <v>169</v>
      </c>
      <c r="B172" s="321" t="n"/>
      <c r="C172" s="321" t="n"/>
      <c r="D172" s="307" t="n"/>
      <c r="E172" s="216" t="inlineStr">
        <is>
          <t>砂土类</t>
        </is>
      </c>
      <c r="F172" s="208" t="n"/>
      <c r="G172" s="312" t="inlineStr">
        <is>
          <t>件</t>
        </is>
      </c>
      <c r="H172" s="318" t="n"/>
      <c r="I172" s="312" t="n"/>
      <c r="J172" s="312" t="n"/>
      <c r="K172" s="312" t="n"/>
      <c r="L172" s="312" t="n"/>
      <c r="M172" s="313" t="n"/>
      <c r="N172" s="314">
        <f>H172*I172*M172</f>
        <v/>
      </c>
      <c r="O172" s="208" t="inlineStr">
        <is>
          <t>试验</t>
        </is>
      </c>
      <c r="P172" s="315" t="n"/>
      <c r="Q172" s="314">
        <f>N172*P172</f>
        <v/>
      </c>
      <c r="R172" s="314">
        <f>N172+Q172</f>
        <v/>
      </c>
      <c r="S172" s="312" t="inlineStr">
        <is>
          <t xml:space="preserve"> 表8.2-1</t>
        </is>
      </c>
      <c r="T172" s="312" t="n"/>
      <c r="U172" s="104" t="n"/>
      <c r="W172" s="154" t="n"/>
      <c r="X172" s="323" t="n">
        <v>29</v>
      </c>
      <c r="Y172" s="111" t="n"/>
      <c r="Z172" s="118" t="n">
        <v>1</v>
      </c>
      <c r="AA172" s="111" t="n"/>
      <c r="AB172" s="320">
        <f>VLOOKUP(O172,{"甲级","1.2";"乙级","1.0";"丙级","0.8";"试验","0.1"},2,0)</f>
        <v/>
      </c>
      <c r="AC172" s="111" t="n"/>
      <c r="AD172" s="317">
        <f>H172+AG172-X172</f>
        <v/>
      </c>
      <c r="AE172" s="317">
        <f>M172+AH172-Z172</f>
        <v/>
      </c>
      <c r="AF172" s="317">
        <f>P172+AI172-AB172</f>
        <v/>
      </c>
      <c r="AG172" s="131" t="n"/>
      <c r="AH172" s="131" t="n"/>
      <c r="AI172" s="131" t="n"/>
      <c r="AJ172" s="131" t="n"/>
      <c r="AK172" s="131" t="n"/>
      <c r="AL172" s="131" t="n"/>
      <c r="AM172" s="131" t="n"/>
      <c r="AN172" s="131" t="n"/>
      <c r="AO172" s="131" t="n"/>
    </row>
    <row r="173" ht="14.4" customFormat="1" customHeight="1" s="47">
      <c r="A173" s="208" t="n">
        <v>170</v>
      </c>
      <c r="B173" s="321" t="n"/>
      <c r="C173" s="321" t="n"/>
      <c r="D173" s="222" t="inlineStr">
        <is>
          <t>标准固结</t>
        </is>
      </c>
      <c r="E173" s="216" t="inlineStr">
        <is>
          <t>快速法</t>
        </is>
      </c>
      <c r="F173" s="208" t="n"/>
      <c r="G173" s="312" t="inlineStr">
        <is>
          <t>件</t>
        </is>
      </c>
      <c r="H173" s="328" t="n"/>
      <c r="I173" s="312" t="n">
        <v>33</v>
      </c>
      <c r="J173" s="312" t="n"/>
      <c r="K173" s="312" t="n"/>
      <c r="L173" s="312" t="n"/>
      <c r="M173" s="313" t="n"/>
      <c r="N173" s="314">
        <f>H173*I173*M173</f>
        <v/>
      </c>
      <c r="O173" s="208" t="inlineStr">
        <is>
          <t>试验</t>
        </is>
      </c>
      <c r="P173" s="315" t="n"/>
      <c r="Q173" s="314">
        <f>N173*P173</f>
        <v/>
      </c>
      <c r="R173" s="314">
        <f>N173+Q173</f>
        <v/>
      </c>
      <c r="S173" s="312" t="inlineStr">
        <is>
          <t xml:space="preserve"> 表8.2-1</t>
        </is>
      </c>
      <c r="T173" s="312" t="n"/>
      <c r="U173" s="104" t="n"/>
      <c r="W173" s="154" t="n"/>
      <c r="X173" s="323" t="n">
        <v>264</v>
      </c>
      <c r="Y173" s="111" t="n"/>
      <c r="Z173" s="118" t="n">
        <v>1</v>
      </c>
      <c r="AA173" s="111" t="n"/>
      <c r="AB173" s="320">
        <f>VLOOKUP(O173,{"甲级","1.2";"乙级","1.0";"丙级","0.8";"试验","0.1"},2,0)</f>
        <v/>
      </c>
      <c r="AC173" s="111" t="n"/>
      <c r="AD173" s="317">
        <f>H173+AG173-X173</f>
        <v/>
      </c>
      <c r="AE173" s="317">
        <f>M173+AH173-Z173</f>
        <v/>
      </c>
      <c r="AF173" s="317">
        <f>P173+AI173-AB173</f>
        <v/>
      </c>
      <c r="AG173" s="131" t="n"/>
      <c r="AH173" s="131" t="n"/>
      <c r="AI173" s="131" t="n"/>
      <c r="AJ173" s="131" t="n"/>
      <c r="AK173" s="131" t="n"/>
      <c r="AL173" s="131" t="n"/>
      <c r="AM173" s="131" t="n"/>
      <c r="AN173" s="131" t="n"/>
      <c r="AO173" s="131" t="n"/>
    </row>
    <row r="174" ht="14.4" customFormat="1" customHeight="1" s="47">
      <c r="A174" s="208" t="n">
        <v>171</v>
      </c>
      <c r="B174" s="321" t="n"/>
      <c r="C174" s="321" t="n"/>
      <c r="D174" s="307" t="n"/>
      <c r="E174" s="216" t="inlineStr">
        <is>
          <t>慢速法</t>
        </is>
      </c>
      <c r="F174" s="208" t="n"/>
      <c r="G174" s="312" t="inlineStr">
        <is>
          <t>件</t>
        </is>
      </c>
      <c r="H174" s="328" t="n"/>
      <c r="I174" s="312" t="n"/>
      <c r="J174" s="312" t="n"/>
      <c r="K174" s="312" t="n"/>
      <c r="L174" s="312" t="n"/>
      <c r="M174" s="313" t="n"/>
      <c r="N174" s="314">
        <f>H174*I174*M174</f>
        <v/>
      </c>
      <c r="O174" s="208" t="inlineStr">
        <is>
          <t>试验</t>
        </is>
      </c>
      <c r="P174" s="315" t="n"/>
      <c r="Q174" s="314">
        <f>N174*P174</f>
        <v/>
      </c>
      <c r="R174" s="314">
        <f>N174+Q174</f>
        <v/>
      </c>
      <c r="S174" s="312" t="inlineStr">
        <is>
          <t xml:space="preserve"> 表8.2-1</t>
        </is>
      </c>
      <c r="T174" s="312" t="n"/>
      <c r="U174" s="104" t="n"/>
      <c r="W174" s="154" t="n"/>
      <c r="X174" s="323" t="n">
        <v>497</v>
      </c>
      <c r="Y174" s="111" t="n"/>
      <c r="Z174" s="118" t="n">
        <v>1</v>
      </c>
      <c r="AA174" s="111" t="n"/>
      <c r="AB174" s="320">
        <f>VLOOKUP(O174,{"甲级","1.2";"乙级","1.0";"丙级","0.8";"试验","0.1"},2,0)</f>
        <v/>
      </c>
      <c r="AC174" s="111" t="n"/>
      <c r="AD174" s="317">
        <f>H174+AG174-X174</f>
        <v/>
      </c>
      <c r="AE174" s="317">
        <f>M174+AH174-Z174</f>
        <v/>
      </c>
      <c r="AF174" s="317">
        <f>P174+AI174-AB174</f>
        <v/>
      </c>
      <c r="AG174" s="131" t="n"/>
      <c r="AH174" s="131" t="n"/>
      <c r="AI174" s="131" t="n"/>
      <c r="AJ174" s="131" t="n"/>
      <c r="AK174" s="131" t="n"/>
      <c r="AL174" s="131" t="n"/>
      <c r="AM174" s="131" t="n"/>
      <c r="AN174" s="131" t="n"/>
      <c r="AO174" s="131" t="n"/>
    </row>
    <row r="175" ht="14.4" customFormat="1" customHeight="1" s="47">
      <c r="A175" s="208" t="n">
        <v>172</v>
      </c>
      <c r="B175" s="321" t="n"/>
      <c r="C175" s="321" t="n"/>
      <c r="D175" s="222" t="inlineStr">
        <is>
          <t>压缩</t>
        </is>
      </c>
      <c r="E175" s="216" t="inlineStr">
        <is>
          <t>快速法</t>
        </is>
      </c>
      <c r="F175" s="208" t="inlineStr">
        <is>
          <t>四级</t>
        </is>
      </c>
      <c r="G175" s="312" t="inlineStr">
        <is>
          <t>件</t>
        </is>
      </c>
      <c r="H175" s="328" t="n"/>
      <c r="I175" s="312" t="n">
        <v>66</v>
      </c>
      <c r="J175" s="312" t="n"/>
      <c r="K175" s="312" t="n"/>
      <c r="L175" s="312" t="n"/>
      <c r="M175" s="313" t="n"/>
      <c r="N175" s="314">
        <f>H175*I175*M175</f>
        <v/>
      </c>
      <c r="O175" s="208" t="inlineStr">
        <is>
          <t>试验</t>
        </is>
      </c>
      <c r="P175" s="315" t="n"/>
      <c r="Q175" s="314">
        <f>N175*P175</f>
        <v/>
      </c>
      <c r="R175" s="314">
        <f>N175+Q175</f>
        <v/>
      </c>
      <c r="S175" s="312" t="inlineStr">
        <is>
          <t xml:space="preserve"> 表8.2-1</t>
        </is>
      </c>
      <c r="T175" s="312" t="n"/>
      <c r="U175" s="104" t="n"/>
      <c r="W175" s="154" t="n"/>
      <c r="X175" s="323" t="n">
        <v>40</v>
      </c>
      <c r="Y175" s="111" t="n"/>
      <c r="Z175" s="118" t="n">
        <v>1</v>
      </c>
      <c r="AA175" s="111" t="n"/>
      <c r="AB175" s="320">
        <f>VLOOKUP(O175,{"甲级","1.2";"乙级","1.0";"丙级","0.8";"试验","0.1"},2,0)</f>
        <v/>
      </c>
      <c r="AC175" s="111" t="n"/>
      <c r="AD175" s="317">
        <f>H175+AG175-X175</f>
        <v/>
      </c>
      <c r="AE175" s="317">
        <f>M175+AH175-Z175</f>
        <v/>
      </c>
      <c r="AF175" s="317">
        <f>P175+AI175-AB175</f>
        <v/>
      </c>
      <c r="AG175" s="131" t="n"/>
      <c r="AH175" s="131" t="n"/>
      <c r="AI175" s="131" t="n"/>
      <c r="AJ175" s="131" t="n"/>
      <c r="AK175" s="131" t="n"/>
      <c r="AL175" s="131" t="n"/>
      <c r="AM175" s="131" t="n"/>
      <c r="AN175" s="131" t="n"/>
      <c r="AO175" s="131" t="n"/>
    </row>
    <row r="176" ht="14.4" customFormat="1" customHeight="1" s="47">
      <c r="A176" s="208" t="n">
        <v>173</v>
      </c>
      <c r="B176" s="321" t="n"/>
      <c r="C176" s="321" t="n"/>
      <c r="D176" s="307" t="n"/>
      <c r="E176" s="216" t="inlineStr">
        <is>
          <t>慢速法</t>
        </is>
      </c>
      <c r="F176" s="208" t="inlineStr">
        <is>
          <t>四级</t>
        </is>
      </c>
      <c r="G176" s="312" t="inlineStr">
        <is>
          <t>件</t>
        </is>
      </c>
      <c r="H176" s="328" t="n"/>
      <c r="I176" s="312" t="n"/>
      <c r="J176" s="312" t="n"/>
      <c r="K176" s="312" t="n"/>
      <c r="L176" s="312" t="n"/>
      <c r="M176" s="313" t="n"/>
      <c r="N176" s="314">
        <f>H176*I176*M176</f>
        <v/>
      </c>
      <c r="O176" s="208" t="inlineStr">
        <is>
          <t>试验</t>
        </is>
      </c>
      <c r="P176" s="315" t="n"/>
      <c r="Q176" s="314">
        <f>N176*P176</f>
        <v/>
      </c>
      <c r="R176" s="314">
        <f>N176+Q176</f>
        <v/>
      </c>
      <c r="S176" s="312" t="inlineStr">
        <is>
          <t xml:space="preserve"> 表8.2-1</t>
        </is>
      </c>
      <c r="T176" s="312" t="n"/>
      <c r="U176" s="104" t="n"/>
      <c r="W176" s="154" t="n"/>
      <c r="X176" s="323" t="n">
        <v>116</v>
      </c>
      <c r="Y176" s="111" t="n"/>
      <c r="Z176" s="118" t="n">
        <v>1</v>
      </c>
      <c r="AA176" s="111" t="n"/>
      <c r="AB176" s="320">
        <f>VLOOKUP(O176,{"甲级","1.2";"乙级","1.0";"丙级","0.8";"试验","0.1"},2,0)</f>
        <v/>
      </c>
      <c r="AC176" s="111" t="n"/>
      <c r="AD176" s="317">
        <f>H176+AG176-X176</f>
        <v/>
      </c>
      <c r="AE176" s="317">
        <f>M176+AH176-Z176</f>
        <v/>
      </c>
      <c r="AF176" s="317">
        <f>P176+AI176-AB176</f>
        <v/>
      </c>
      <c r="AG176" s="131" t="n"/>
      <c r="AH176" s="131" t="n"/>
      <c r="AI176" s="131" t="n"/>
      <c r="AJ176" s="131" t="n"/>
      <c r="AK176" s="131" t="n"/>
      <c r="AL176" s="131" t="n"/>
      <c r="AM176" s="131" t="n"/>
      <c r="AN176" s="131" t="n"/>
      <c r="AO176" s="131" t="n"/>
    </row>
    <row r="177" ht="14.4" customFormat="1" customHeight="1" s="47">
      <c r="A177" s="208" t="n">
        <v>174</v>
      </c>
      <c r="B177" s="321" t="n"/>
      <c r="C177" s="321" t="n"/>
      <c r="D177" s="222" t="inlineStr">
        <is>
          <t>三轴压缩</t>
        </is>
      </c>
      <c r="E177" s="216" t="inlineStr">
        <is>
          <t>不固结不排水</t>
        </is>
      </c>
      <c r="F177" s="208" t="n"/>
      <c r="G177" s="222" t="inlineStr">
        <is>
          <t>组</t>
        </is>
      </c>
      <c r="H177" s="328" t="n"/>
      <c r="I177" s="312" t="n"/>
      <c r="J177" s="312" t="n"/>
      <c r="K177" s="312" t="n"/>
      <c r="L177" s="312" t="n"/>
      <c r="M177" s="313" t="n"/>
      <c r="N177" s="314">
        <f>H177*I177*M177</f>
        <v/>
      </c>
      <c r="O177" s="208" t="inlineStr">
        <is>
          <t>试验</t>
        </is>
      </c>
      <c r="P177" s="315" t="n"/>
      <c r="Q177" s="314">
        <f>N177*P177</f>
        <v/>
      </c>
      <c r="R177" s="314">
        <f>N177+Q177</f>
        <v/>
      </c>
      <c r="S177" s="312" t="inlineStr">
        <is>
          <t xml:space="preserve"> 表8.2-1</t>
        </is>
      </c>
      <c r="T177" s="312" t="n"/>
      <c r="U177" s="104" t="n"/>
      <c r="W177" s="154" t="n"/>
      <c r="X177" s="323" t="n">
        <v>413</v>
      </c>
      <c r="Y177" s="111" t="n"/>
      <c r="Z177" s="118" t="n">
        <v>1</v>
      </c>
      <c r="AA177" s="111" t="n"/>
      <c r="AB177" s="320">
        <f>VLOOKUP(O177,{"甲级","1.2";"乙级","1.0";"丙级","0.8";"试验","0.1"},2,0)</f>
        <v/>
      </c>
      <c r="AC177" s="111" t="n"/>
      <c r="AD177" s="317">
        <f>H177+AG177-X177</f>
        <v/>
      </c>
      <c r="AE177" s="317">
        <f>M177+AH177-Z177</f>
        <v/>
      </c>
      <c r="AF177" s="317">
        <f>P177+AI177-AB177</f>
        <v/>
      </c>
      <c r="AG177" s="131" t="n"/>
      <c r="AH177" s="131" t="n"/>
      <c r="AI177" s="131" t="n"/>
      <c r="AJ177" s="131" t="n"/>
      <c r="AK177" s="131" t="n"/>
      <c r="AL177" s="131" t="n"/>
      <c r="AM177" s="131" t="n"/>
      <c r="AN177" s="131" t="n"/>
      <c r="AO177" s="131" t="n"/>
    </row>
    <row r="178" ht="14.4" customFormat="1" customHeight="1" s="47">
      <c r="A178" s="208" t="n">
        <v>175</v>
      </c>
      <c r="B178" s="321" t="n"/>
      <c r="C178" s="321" t="n"/>
      <c r="D178" s="321" t="n"/>
      <c r="E178" s="216" t="inlineStr">
        <is>
          <t>固结不排水</t>
        </is>
      </c>
      <c r="F178" s="208" t="n"/>
      <c r="G178" s="222" t="inlineStr">
        <is>
          <t>组</t>
        </is>
      </c>
      <c r="H178" s="328" t="n"/>
      <c r="I178" s="312" t="n"/>
      <c r="J178" s="312" t="n"/>
      <c r="K178" s="312" t="n"/>
      <c r="L178" s="312" t="n"/>
      <c r="M178" s="313" t="n"/>
      <c r="N178" s="314">
        <f>H178*I178*M178</f>
        <v/>
      </c>
      <c r="O178" s="208" t="inlineStr">
        <is>
          <t>试验</t>
        </is>
      </c>
      <c r="P178" s="315" t="n"/>
      <c r="Q178" s="314">
        <f>N178*P178</f>
        <v/>
      </c>
      <c r="R178" s="314">
        <f>N178+Q178</f>
        <v/>
      </c>
      <c r="S178" s="312" t="inlineStr">
        <is>
          <t xml:space="preserve"> 表8.2-1</t>
        </is>
      </c>
      <c r="T178" s="312" t="n"/>
      <c r="U178" s="104" t="n"/>
      <c r="W178" s="154" t="n"/>
      <c r="X178" s="323" t="n">
        <v>775</v>
      </c>
      <c r="Y178" s="111" t="n"/>
      <c r="Z178" s="118" t="n">
        <v>1</v>
      </c>
      <c r="AA178" s="111" t="n"/>
      <c r="AB178" s="320">
        <f>VLOOKUP(O178,{"甲级","1.2";"乙级","1.0";"丙级","0.8";"试验","0.1"},2,0)</f>
        <v/>
      </c>
      <c r="AC178" s="111" t="n"/>
      <c r="AD178" s="317">
        <f>H178+AG178-X178</f>
        <v/>
      </c>
      <c r="AE178" s="317">
        <f>M178+AH178-Z178</f>
        <v/>
      </c>
      <c r="AF178" s="317">
        <f>P178+AI178-AB178</f>
        <v/>
      </c>
      <c r="AG178" s="131" t="n"/>
      <c r="AH178" s="131" t="n"/>
      <c r="AI178" s="131" t="n"/>
      <c r="AJ178" s="131" t="n"/>
      <c r="AK178" s="131" t="n"/>
      <c r="AL178" s="131" t="n"/>
      <c r="AM178" s="131" t="n"/>
      <c r="AN178" s="131" t="n"/>
      <c r="AO178" s="131" t="n"/>
    </row>
    <row r="179" ht="24" customFormat="1" customHeight="1" s="47">
      <c r="A179" s="208" t="n">
        <v>176</v>
      </c>
      <c r="B179" s="321" t="n"/>
      <c r="C179" s="321" t="n"/>
      <c r="D179" s="321" t="n"/>
      <c r="E179" s="216" t="inlineStr">
        <is>
          <t>固结不排水测孔压</t>
        </is>
      </c>
      <c r="F179" s="208" t="n"/>
      <c r="G179" s="222" t="inlineStr">
        <is>
          <t>组</t>
        </is>
      </c>
      <c r="H179" s="328" t="n"/>
      <c r="I179" s="312" t="n"/>
      <c r="J179" s="312" t="n"/>
      <c r="K179" s="312" t="n"/>
      <c r="L179" s="312" t="n"/>
      <c r="M179" s="313" t="n"/>
      <c r="N179" s="314">
        <f>H179*I179*M179</f>
        <v/>
      </c>
      <c r="O179" s="208" t="inlineStr">
        <is>
          <t>试验</t>
        </is>
      </c>
      <c r="P179" s="315" t="n"/>
      <c r="Q179" s="314">
        <f>N179*P179</f>
        <v/>
      </c>
      <c r="R179" s="314">
        <f>N179+Q179</f>
        <v/>
      </c>
      <c r="S179" s="312" t="inlineStr">
        <is>
          <t xml:space="preserve"> 表8.2-1</t>
        </is>
      </c>
      <c r="T179" s="312" t="n"/>
      <c r="U179" s="104" t="n"/>
      <c r="W179" s="154" t="n"/>
      <c r="X179" s="323" t="n">
        <v>930</v>
      </c>
      <c r="Y179" s="111" t="n"/>
      <c r="Z179" s="118" t="n">
        <v>1</v>
      </c>
      <c r="AA179" s="111" t="n"/>
      <c r="AB179" s="320">
        <f>VLOOKUP(O179,{"甲级","1.2";"乙级","1.0";"丙级","0.8";"试验","0.1"},2,0)</f>
        <v/>
      </c>
      <c r="AC179" s="111" t="n"/>
      <c r="AD179" s="317">
        <f>H179+AG179-X179</f>
        <v/>
      </c>
      <c r="AE179" s="317">
        <f>M179+AH179-Z179</f>
        <v/>
      </c>
      <c r="AF179" s="317">
        <f>P179+AI179-AB179</f>
        <v/>
      </c>
      <c r="AG179" s="131" t="n"/>
      <c r="AH179" s="131" t="n"/>
      <c r="AI179" s="131" t="n"/>
      <c r="AJ179" s="131" t="n"/>
      <c r="AK179" s="131" t="n"/>
      <c r="AL179" s="131" t="n"/>
      <c r="AM179" s="131" t="n"/>
      <c r="AN179" s="131" t="n"/>
      <c r="AO179" s="131" t="n"/>
    </row>
    <row r="180" ht="14.4" customFormat="1" customHeight="1" s="47">
      <c r="A180" s="208" t="n">
        <v>177</v>
      </c>
      <c r="B180" s="321" t="n"/>
      <c r="C180" s="321" t="n"/>
      <c r="D180" s="307" t="n"/>
      <c r="E180" s="216" t="inlineStr">
        <is>
          <t>固结排水</t>
        </is>
      </c>
      <c r="F180" s="208" t="n"/>
      <c r="G180" s="222" t="inlineStr">
        <is>
          <t>组</t>
        </is>
      </c>
      <c r="H180" s="328" t="n"/>
      <c r="I180" s="312" t="n"/>
      <c r="J180" s="312" t="n"/>
      <c r="K180" s="312" t="n"/>
      <c r="L180" s="312" t="n"/>
      <c r="M180" s="313" t="n"/>
      <c r="N180" s="314">
        <f>H180*I180*M180</f>
        <v/>
      </c>
      <c r="O180" s="208" t="inlineStr">
        <is>
          <t>试验</t>
        </is>
      </c>
      <c r="P180" s="315" t="n"/>
      <c r="Q180" s="314">
        <f>N180*P180</f>
        <v/>
      </c>
      <c r="R180" s="314">
        <f>N180+Q180</f>
        <v/>
      </c>
      <c r="S180" s="312" t="inlineStr">
        <is>
          <t xml:space="preserve"> 表8.2-1</t>
        </is>
      </c>
      <c r="T180" s="312" t="n"/>
      <c r="U180" s="104" t="n"/>
      <c r="W180" s="154" t="n"/>
      <c r="X180" s="323" t="n">
        <v>1240</v>
      </c>
      <c r="Y180" s="111" t="n"/>
      <c r="Z180" s="118" t="n">
        <v>1</v>
      </c>
      <c r="AA180" s="111" t="n"/>
      <c r="AB180" s="320">
        <f>VLOOKUP(O180,{"甲级","1.2";"乙级","1.0";"丙级","0.8";"试验","0.1"},2,0)</f>
        <v/>
      </c>
      <c r="AC180" s="111" t="n"/>
      <c r="AD180" s="317">
        <f>H180+AG180-X180</f>
        <v/>
      </c>
      <c r="AE180" s="317">
        <f>M180+AH180-Z180</f>
        <v/>
      </c>
      <c r="AF180" s="317">
        <f>P180+AI180-AB180</f>
        <v/>
      </c>
      <c r="AG180" s="131" t="n"/>
      <c r="AH180" s="131" t="n"/>
      <c r="AI180" s="131" t="n"/>
      <c r="AJ180" s="131" t="n"/>
      <c r="AK180" s="131" t="n"/>
      <c r="AL180" s="131" t="n"/>
      <c r="AM180" s="131" t="n"/>
      <c r="AN180" s="131" t="n"/>
      <c r="AO180" s="131" t="n"/>
    </row>
    <row r="181" ht="14.4" customFormat="1" customHeight="1" s="47">
      <c r="A181" s="208" t="n">
        <v>178</v>
      </c>
      <c r="B181" s="321" t="n"/>
      <c r="C181" s="321" t="n"/>
      <c r="D181" s="222" t="inlineStr">
        <is>
          <t>直接剪切</t>
        </is>
      </c>
      <c r="E181" s="216" t="inlineStr">
        <is>
          <t>快剪</t>
        </is>
      </c>
      <c r="F181" s="208" t="n"/>
      <c r="G181" s="222" t="inlineStr">
        <is>
          <t>组</t>
        </is>
      </c>
      <c r="H181" s="328" t="n"/>
      <c r="I181" s="312" t="n">
        <v>66</v>
      </c>
      <c r="J181" s="312" t="n"/>
      <c r="K181" s="312" t="n"/>
      <c r="L181" s="312" t="n"/>
      <c r="M181" s="313" t="n"/>
      <c r="N181" s="314">
        <f>H181*I181*M181</f>
        <v/>
      </c>
      <c r="O181" s="208" t="inlineStr">
        <is>
          <t>试验</t>
        </is>
      </c>
      <c r="P181" s="315" t="n"/>
      <c r="Q181" s="314">
        <f>N181*P181</f>
        <v/>
      </c>
      <c r="R181" s="314">
        <f>N181+Q181</f>
        <v/>
      </c>
      <c r="S181" s="312" t="inlineStr">
        <is>
          <t xml:space="preserve"> 表8.2-1</t>
        </is>
      </c>
      <c r="T181" s="312" t="n"/>
      <c r="U181" s="104" t="n"/>
      <c r="W181" s="154" t="n"/>
      <c r="X181" s="323" t="n">
        <v>49</v>
      </c>
      <c r="Y181" s="111" t="n"/>
      <c r="Z181" s="118" t="n">
        <v>1</v>
      </c>
      <c r="AA181" s="111" t="n"/>
      <c r="AB181" s="320">
        <f>VLOOKUP(O181,{"甲级","1.2";"乙级","1.0";"丙级","0.8";"试验","0.1"},2,0)</f>
        <v/>
      </c>
      <c r="AC181" s="111" t="n"/>
      <c r="AD181" s="317">
        <f>H181+AG181-X181</f>
        <v/>
      </c>
      <c r="AE181" s="317">
        <f>M181+AH181-Z181</f>
        <v/>
      </c>
      <c r="AF181" s="317">
        <f>P181+AI181-AB181</f>
        <v/>
      </c>
      <c r="AG181" s="131" t="n"/>
      <c r="AH181" s="131" t="n"/>
      <c r="AI181" s="131" t="n"/>
      <c r="AJ181" s="131" t="n"/>
      <c r="AK181" s="131" t="n"/>
      <c r="AL181" s="131" t="n"/>
      <c r="AM181" s="131" t="n"/>
      <c r="AN181" s="131" t="n"/>
      <c r="AO181" s="131" t="n"/>
    </row>
    <row r="182" ht="14.4" customFormat="1" customHeight="1" s="47">
      <c r="A182" s="208" t="n">
        <v>179</v>
      </c>
      <c r="B182" s="321" t="n"/>
      <c r="C182" s="321" t="n"/>
      <c r="D182" s="321" t="n"/>
      <c r="E182" s="216" t="inlineStr">
        <is>
          <t>固结快剪</t>
        </is>
      </c>
      <c r="F182" s="208" t="n"/>
      <c r="G182" s="222" t="inlineStr">
        <is>
          <t>组</t>
        </is>
      </c>
      <c r="H182" s="328" t="n"/>
      <c r="I182" s="312" t="n"/>
      <c r="J182" s="312" t="n"/>
      <c r="K182" s="312" t="n"/>
      <c r="L182" s="312" t="n"/>
      <c r="M182" s="313" t="n"/>
      <c r="N182" s="314">
        <f>H182*I182*M182</f>
        <v/>
      </c>
      <c r="O182" s="208" t="inlineStr">
        <is>
          <t>试验</t>
        </is>
      </c>
      <c r="P182" s="315" t="n"/>
      <c r="Q182" s="314">
        <f>N182*P182</f>
        <v/>
      </c>
      <c r="R182" s="314">
        <f>N182+Q182</f>
        <v/>
      </c>
      <c r="S182" s="312" t="inlineStr">
        <is>
          <t xml:space="preserve"> 表8.2-1</t>
        </is>
      </c>
      <c r="T182" s="312" t="n"/>
      <c r="U182" s="104" t="n"/>
      <c r="W182" s="154" t="n"/>
      <c r="X182" s="323" t="n">
        <v>71</v>
      </c>
      <c r="Y182" s="111" t="n"/>
      <c r="Z182" s="118" t="n">
        <v>1</v>
      </c>
      <c r="AA182" s="111" t="n"/>
      <c r="AB182" s="320">
        <f>VLOOKUP(O182,{"甲级","1.2";"乙级","1.0";"丙级","0.8";"试验","0.1"},2,0)</f>
        <v/>
      </c>
      <c r="AC182" s="111" t="n"/>
      <c r="AD182" s="317">
        <f>H182+AG182-X182</f>
        <v/>
      </c>
      <c r="AE182" s="317">
        <f>M182+AH182-Z182</f>
        <v/>
      </c>
      <c r="AF182" s="317">
        <f>P182+AI182-AB182</f>
        <v/>
      </c>
      <c r="AG182" s="131" t="n"/>
      <c r="AH182" s="131" t="n"/>
      <c r="AI182" s="131" t="n"/>
      <c r="AJ182" s="131" t="n"/>
      <c r="AK182" s="131" t="n"/>
      <c r="AL182" s="131" t="n"/>
      <c r="AM182" s="131" t="n"/>
      <c r="AN182" s="131" t="n"/>
      <c r="AO182" s="131" t="n"/>
    </row>
    <row r="183" ht="14.4" customFormat="1" customHeight="1" s="47">
      <c r="A183" s="208" t="n">
        <v>180</v>
      </c>
      <c r="B183" s="321" t="n"/>
      <c r="C183" s="321" t="n"/>
      <c r="D183" s="307" t="n"/>
      <c r="E183" s="216" t="inlineStr">
        <is>
          <t>固结慢剪</t>
        </is>
      </c>
      <c r="F183" s="208" t="n"/>
      <c r="G183" s="222" t="inlineStr">
        <is>
          <t>组</t>
        </is>
      </c>
      <c r="H183" s="328" t="n"/>
      <c r="I183" s="312" t="n"/>
      <c r="J183" s="312" t="n"/>
      <c r="K183" s="312" t="n"/>
      <c r="L183" s="312" t="n"/>
      <c r="M183" s="313" t="n"/>
      <c r="N183" s="314">
        <f>H183*I183*M183</f>
        <v/>
      </c>
      <c r="O183" s="208" t="inlineStr">
        <is>
          <t>试验</t>
        </is>
      </c>
      <c r="P183" s="315" t="n"/>
      <c r="Q183" s="314">
        <f>N183*P183</f>
        <v/>
      </c>
      <c r="R183" s="314">
        <f>N183+Q183</f>
        <v/>
      </c>
      <c r="S183" s="312" t="inlineStr">
        <is>
          <t xml:space="preserve"> 表8.2-1</t>
        </is>
      </c>
      <c r="T183" s="312" t="n"/>
      <c r="U183" s="104" t="n"/>
      <c r="W183" s="154" t="n"/>
      <c r="X183" s="323" t="n">
        <v>99</v>
      </c>
      <c r="Y183" s="111" t="n"/>
      <c r="Z183" s="118" t="n">
        <v>1</v>
      </c>
      <c r="AA183" s="111" t="n"/>
      <c r="AB183" s="320">
        <f>VLOOKUP(O183,{"甲级","1.2";"乙级","1.0";"丙级","0.8";"试验","0.1"},2,0)</f>
        <v/>
      </c>
      <c r="AC183" s="111" t="n"/>
      <c r="AD183" s="317">
        <f>H183+AG183-X183</f>
        <v/>
      </c>
      <c r="AE183" s="317">
        <f>M183+AH183-Z183</f>
        <v/>
      </c>
      <c r="AF183" s="317">
        <f>P183+AI183-AB183</f>
        <v/>
      </c>
      <c r="AG183" s="131" t="n"/>
      <c r="AH183" s="131" t="n"/>
      <c r="AI183" s="131" t="n"/>
      <c r="AJ183" s="131" t="n"/>
      <c r="AK183" s="131" t="n"/>
      <c r="AL183" s="131" t="n"/>
      <c r="AM183" s="131" t="n"/>
      <c r="AN183" s="131" t="n"/>
      <c r="AO183" s="131" t="n"/>
    </row>
    <row r="184" ht="14.4" customFormat="1" customHeight="1" s="47">
      <c r="A184" s="208" t="n">
        <v>181</v>
      </c>
      <c r="B184" s="321" t="n"/>
      <c r="C184" s="321" t="n"/>
      <c r="D184" s="213" t="inlineStr">
        <is>
          <t>黄土湿陷性</t>
        </is>
      </c>
      <c r="E184" s="222" t="inlineStr">
        <is>
          <t>湿陷系数</t>
        </is>
      </c>
      <c r="F184" s="208" t="n"/>
      <c r="G184" s="222" t="inlineStr">
        <is>
          <t>组</t>
        </is>
      </c>
      <c r="H184" s="328" t="n"/>
      <c r="I184" s="312" t="n"/>
      <c r="J184" s="312" t="n"/>
      <c r="K184" s="312" t="n"/>
      <c r="L184" s="312" t="n"/>
      <c r="M184" s="313" t="n"/>
      <c r="N184" s="314">
        <f>H184*I184*M184</f>
        <v/>
      </c>
      <c r="O184" s="208" t="inlineStr">
        <is>
          <t>试验</t>
        </is>
      </c>
      <c r="P184" s="315" t="n"/>
      <c r="Q184" s="314">
        <f>N184*P184</f>
        <v/>
      </c>
      <c r="R184" s="314">
        <f>N184+Q184</f>
        <v/>
      </c>
      <c r="S184" s="312" t="inlineStr">
        <is>
          <t xml:space="preserve"> 表8.2-1</t>
        </is>
      </c>
      <c r="T184" s="312" t="n"/>
      <c r="U184" s="104" t="n"/>
      <c r="W184" s="154" t="n"/>
      <c r="X184" s="323" t="n">
        <v>53</v>
      </c>
      <c r="Y184" s="111" t="n"/>
      <c r="Z184" s="118" t="n">
        <v>1</v>
      </c>
      <c r="AA184" s="111" t="n"/>
      <c r="AB184" s="320">
        <f>VLOOKUP(O184,{"甲级","1.2";"乙级","1.0";"丙级","0.8";"试验","0.1"},2,0)</f>
        <v/>
      </c>
      <c r="AC184" s="111" t="n"/>
      <c r="AD184" s="317">
        <f>H184+AG184-X184</f>
        <v/>
      </c>
      <c r="AE184" s="317">
        <f>M184+AH184-Z184</f>
        <v/>
      </c>
      <c r="AF184" s="317">
        <f>P184+AI184-AB184</f>
        <v/>
      </c>
      <c r="AG184" s="131" t="n"/>
      <c r="AH184" s="131" t="n"/>
      <c r="AI184" s="131" t="n"/>
      <c r="AJ184" s="131" t="n"/>
      <c r="AK184" s="131" t="n"/>
      <c r="AL184" s="131" t="n"/>
      <c r="AM184" s="131" t="n"/>
      <c r="AN184" s="131" t="n"/>
      <c r="AO184" s="131" t="n"/>
    </row>
    <row r="185" ht="14.4" customFormat="1" customHeight="1" s="47">
      <c r="A185" s="208" t="n">
        <v>182</v>
      </c>
      <c r="B185" s="321" t="n"/>
      <c r="C185" s="321" t="n"/>
      <c r="D185" s="321" t="n"/>
      <c r="E185" s="307" t="n"/>
      <c r="F185" s="216" t="inlineStr">
        <is>
          <t>自重</t>
        </is>
      </c>
      <c r="G185" s="222" t="inlineStr">
        <is>
          <t>组</t>
        </is>
      </c>
      <c r="H185" s="328" t="n"/>
      <c r="I185" s="312" t="n"/>
      <c r="J185" s="312" t="n"/>
      <c r="K185" s="312" t="n"/>
      <c r="L185" s="312" t="n"/>
      <c r="M185" s="313" t="n"/>
      <c r="N185" s="314">
        <f>H185*I185*M185</f>
        <v/>
      </c>
      <c r="O185" s="208" t="inlineStr">
        <is>
          <t>试验</t>
        </is>
      </c>
      <c r="P185" s="315" t="n"/>
      <c r="Q185" s="314">
        <f>N185*P185</f>
        <v/>
      </c>
      <c r="R185" s="314">
        <f>N185+Q185</f>
        <v/>
      </c>
      <c r="S185" s="312" t="inlineStr">
        <is>
          <t xml:space="preserve"> 表8.2-1</t>
        </is>
      </c>
      <c r="T185" s="312" t="n"/>
      <c r="U185" s="104" t="n"/>
      <c r="W185" s="154" t="n"/>
      <c r="X185" s="323" t="n">
        <v>23</v>
      </c>
      <c r="Y185" s="111" t="n"/>
      <c r="Z185" s="118" t="n">
        <v>1</v>
      </c>
      <c r="AA185" s="111" t="n"/>
      <c r="AB185" s="320">
        <f>VLOOKUP(O185,{"甲级","1.2";"乙级","1.0";"丙级","0.8";"试验","0.1"},2,0)</f>
        <v/>
      </c>
      <c r="AC185" s="111" t="n"/>
      <c r="AD185" s="317">
        <f>H185+AG185-X185</f>
        <v/>
      </c>
      <c r="AE185" s="317">
        <f>M185+AH185-Z185</f>
        <v/>
      </c>
      <c r="AF185" s="317">
        <f>P185+AI185-AB185</f>
        <v/>
      </c>
      <c r="AG185" s="131" t="n"/>
      <c r="AH185" s="131" t="n"/>
      <c r="AI185" s="131" t="n"/>
      <c r="AJ185" s="131" t="n"/>
      <c r="AK185" s="131" t="n"/>
      <c r="AL185" s="131" t="n"/>
      <c r="AM185" s="131" t="n"/>
      <c r="AN185" s="131" t="n"/>
      <c r="AO185" s="131" t="n"/>
    </row>
    <row r="186" ht="14.4" customFormat="1" customHeight="1" s="47">
      <c r="A186" s="208" t="n">
        <v>183</v>
      </c>
      <c r="B186" s="321" t="n"/>
      <c r="C186" s="321" t="n"/>
      <c r="D186" s="321" t="n"/>
      <c r="E186" s="222" t="inlineStr">
        <is>
          <t>自重起始压力</t>
        </is>
      </c>
      <c r="F186" s="216" t="inlineStr">
        <is>
          <t>单线法</t>
        </is>
      </c>
      <c r="G186" s="216" t="inlineStr">
        <is>
          <t>5环刀</t>
        </is>
      </c>
      <c r="H186" s="328" t="n"/>
      <c r="I186" s="312" t="n"/>
      <c r="J186" s="312" t="n"/>
      <c r="K186" s="312" t="n"/>
      <c r="L186" s="312" t="n"/>
      <c r="M186" s="313" t="n"/>
      <c r="N186" s="314">
        <f>H186*I186*M186</f>
        <v/>
      </c>
      <c r="O186" s="208" t="inlineStr">
        <is>
          <t>试验</t>
        </is>
      </c>
      <c r="P186" s="315" t="n"/>
      <c r="Q186" s="314">
        <f>N186*P186</f>
        <v/>
      </c>
      <c r="R186" s="314">
        <f>N186+Q186</f>
        <v/>
      </c>
      <c r="S186" s="312" t="inlineStr">
        <is>
          <t xml:space="preserve"> 表8.2-1</t>
        </is>
      </c>
      <c r="T186" s="312" t="n"/>
      <c r="U186" s="104" t="n"/>
      <c r="W186" s="154" t="n"/>
      <c r="X186" s="323" t="n">
        <v>137</v>
      </c>
      <c r="Y186" s="111" t="n"/>
      <c r="Z186" s="118" t="n">
        <v>1</v>
      </c>
      <c r="AA186" s="111" t="n"/>
      <c r="AB186" s="320">
        <f>VLOOKUP(O186,{"甲级","1.2";"乙级","1.0";"丙级","0.8";"试验","0.1"},2,0)</f>
        <v/>
      </c>
      <c r="AC186" s="111" t="n"/>
      <c r="AD186" s="317">
        <f>H186+AG186-X186</f>
        <v/>
      </c>
      <c r="AE186" s="317">
        <f>M186+AH186-Z186</f>
        <v/>
      </c>
      <c r="AF186" s="317">
        <f>P186+AI186-AB186</f>
        <v/>
      </c>
      <c r="AG186" s="131" t="n"/>
      <c r="AH186" s="131" t="n"/>
      <c r="AI186" s="131" t="n"/>
      <c r="AJ186" s="131" t="n"/>
      <c r="AK186" s="131" t="n"/>
      <c r="AL186" s="131" t="n"/>
      <c r="AM186" s="131" t="n"/>
      <c r="AN186" s="131" t="n"/>
      <c r="AO186" s="131" t="n"/>
    </row>
    <row r="187" ht="14.4" customFormat="1" customHeight="1" s="47">
      <c r="A187" s="208" t="n">
        <v>184</v>
      </c>
      <c r="B187" s="321" t="n"/>
      <c r="C187" s="321" t="n"/>
      <c r="D187" s="307" t="n"/>
      <c r="E187" s="307" t="n"/>
      <c r="F187" s="216" t="inlineStr">
        <is>
          <t>双线法</t>
        </is>
      </c>
      <c r="G187" s="216" t="inlineStr">
        <is>
          <t>2环刀</t>
        </is>
      </c>
      <c r="H187" s="328" t="n"/>
      <c r="I187" s="312" t="n"/>
      <c r="J187" s="312" t="n"/>
      <c r="K187" s="312" t="n"/>
      <c r="L187" s="312" t="n"/>
      <c r="M187" s="313" t="n"/>
      <c r="N187" s="314">
        <f>H187*I187*M187</f>
        <v/>
      </c>
      <c r="O187" s="208" t="inlineStr">
        <is>
          <t>试验</t>
        </is>
      </c>
      <c r="P187" s="315" t="n"/>
      <c r="Q187" s="314">
        <f>N187*P187</f>
        <v/>
      </c>
      <c r="R187" s="314">
        <f>N187+Q187</f>
        <v/>
      </c>
      <c r="S187" s="312" t="inlineStr">
        <is>
          <t xml:space="preserve"> 表8.2-1</t>
        </is>
      </c>
      <c r="T187" s="312" t="n"/>
      <c r="U187" s="104" t="n"/>
      <c r="W187" s="154" t="n"/>
      <c r="X187" s="323" t="n">
        <v>56</v>
      </c>
      <c r="Y187" s="111" t="n"/>
      <c r="Z187" s="118" t="n">
        <v>1</v>
      </c>
      <c r="AA187" s="111" t="n"/>
      <c r="AB187" s="320">
        <f>VLOOKUP(O187,{"甲级","1.2";"乙级","1.0";"丙级","0.8";"试验","0.1"},2,0)</f>
        <v/>
      </c>
      <c r="AC187" s="111" t="n"/>
      <c r="AD187" s="317">
        <f>H187+AG187-X187</f>
        <v/>
      </c>
      <c r="AE187" s="317">
        <f>M187+AH187-Z187</f>
        <v/>
      </c>
      <c r="AF187" s="317">
        <f>P187+AI187-AB187</f>
        <v/>
      </c>
      <c r="AG187" s="131" t="n"/>
      <c r="AH187" s="131" t="n"/>
      <c r="AI187" s="131" t="n"/>
      <c r="AJ187" s="131" t="n"/>
      <c r="AK187" s="131" t="n"/>
      <c r="AL187" s="131" t="n"/>
      <c r="AM187" s="131" t="n"/>
      <c r="AN187" s="131" t="n"/>
      <c r="AO187" s="131" t="n"/>
    </row>
    <row r="188" ht="14.4" customFormat="1" customHeight="1" s="47">
      <c r="A188" s="208" t="n">
        <v>185</v>
      </c>
      <c r="B188" s="321" t="n"/>
      <c r="C188" s="321" t="n"/>
      <c r="D188" s="210" t="inlineStr">
        <is>
          <t>膨胀试验</t>
        </is>
      </c>
      <c r="E188" s="208" t="inlineStr">
        <is>
          <t>自由膨胀率</t>
        </is>
      </c>
      <c r="F188" s="208" t="n"/>
      <c r="G188" s="312" t="inlineStr">
        <is>
          <t>件</t>
        </is>
      </c>
      <c r="H188" s="318" t="n"/>
      <c r="I188" s="312" t="n"/>
      <c r="J188" s="312" t="n"/>
      <c r="K188" s="312" t="n"/>
      <c r="L188" s="312" t="n"/>
      <c r="M188" s="313" t="n"/>
      <c r="N188" s="314">
        <f>H188*I188*M188</f>
        <v/>
      </c>
      <c r="O188" s="208" t="inlineStr">
        <is>
          <t>试验</t>
        </is>
      </c>
      <c r="P188" s="315" t="n"/>
      <c r="Q188" s="314">
        <f>N188*P188</f>
        <v/>
      </c>
      <c r="R188" s="314">
        <f>N188+Q188</f>
        <v/>
      </c>
      <c r="S188" s="312" t="inlineStr">
        <is>
          <t xml:space="preserve"> 表8.2-1</t>
        </is>
      </c>
      <c r="T188" s="312" t="n"/>
      <c r="U188" s="104" t="n"/>
      <c r="W188" s="154" t="n"/>
      <c r="X188" s="323" t="n">
        <v>14</v>
      </c>
      <c r="Y188" s="111" t="n"/>
      <c r="Z188" s="118" t="n">
        <v>1</v>
      </c>
      <c r="AA188" s="111" t="n"/>
      <c r="AB188" s="320">
        <f>VLOOKUP(O188,{"甲级","1.2";"乙级","1.0";"丙级","0.8";"试验","0.1"},2,0)</f>
        <v/>
      </c>
      <c r="AC188" s="111" t="n"/>
      <c r="AD188" s="317">
        <f>H188+AG188-X188</f>
        <v/>
      </c>
      <c r="AE188" s="317">
        <f>M188+AH188-Z188</f>
        <v/>
      </c>
      <c r="AF188" s="317">
        <f>P188+AI188-AB188</f>
        <v/>
      </c>
      <c r="AG188" s="131" t="n"/>
      <c r="AH188" s="131" t="n"/>
      <c r="AI188" s="131" t="n"/>
      <c r="AJ188" s="131" t="n"/>
      <c r="AK188" s="131" t="n"/>
      <c r="AL188" s="131" t="n"/>
      <c r="AM188" s="131" t="n"/>
      <c r="AN188" s="131" t="n"/>
      <c r="AO188" s="131" t="n"/>
    </row>
    <row r="189" ht="14.4" customFormat="1" customHeight="1" s="47">
      <c r="A189" s="208" t="n">
        <v>186</v>
      </c>
      <c r="B189" s="321" t="n"/>
      <c r="C189" s="321" t="n"/>
      <c r="D189" s="321" t="n"/>
      <c r="E189" s="208" t="inlineStr">
        <is>
          <t>膨胀率</t>
        </is>
      </c>
      <c r="F189" s="208" t="n"/>
      <c r="G189" s="312" t="inlineStr">
        <is>
          <t>件</t>
        </is>
      </c>
      <c r="H189" s="318" t="n"/>
      <c r="I189" s="312" t="n"/>
      <c r="J189" s="312" t="n"/>
      <c r="K189" s="312" t="n"/>
      <c r="L189" s="312" t="n"/>
      <c r="M189" s="313" t="n"/>
      <c r="N189" s="314">
        <f>H189*I189*M189</f>
        <v/>
      </c>
      <c r="O189" s="208" t="inlineStr">
        <is>
          <t>试验</t>
        </is>
      </c>
      <c r="P189" s="315" t="n"/>
      <c r="Q189" s="314">
        <f>N189*P189</f>
        <v/>
      </c>
      <c r="R189" s="314">
        <f>N189+Q189</f>
        <v/>
      </c>
      <c r="S189" s="312" t="inlineStr">
        <is>
          <t xml:space="preserve"> 表8.2-1</t>
        </is>
      </c>
      <c r="T189" s="312" t="n"/>
      <c r="U189" s="104" t="n"/>
      <c r="W189" s="154" t="n"/>
      <c r="X189" s="323" t="n">
        <v>27</v>
      </c>
      <c r="Y189" s="111" t="n"/>
      <c r="Z189" s="118" t="n">
        <v>1</v>
      </c>
      <c r="AA189" s="111" t="n"/>
      <c r="AB189" s="320">
        <f>VLOOKUP(O189,{"甲级","1.2";"乙级","1.0";"丙级","0.8";"试验","0.1"},2,0)</f>
        <v/>
      </c>
      <c r="AC189" s="111" t="n"/>
      <c r="AD189" s="317">
        <f>H189+AG189-X189</f>
        <v/>
      </c>
      <c r="AE189" s="317">
        <f>M189+AH189-Z189</f>
        <v/>
      </c>
      <c r="AF189" s="317">
        <f>P189+AI189-AB189</f>
        <v/>
      </c>
      <c r="AG189" s="131" t="n"/>
      <c r="AH189" s="131" t="n"/>
      <c r="AI189" s="131" t="n"/>
      <c r="AJ189" s="131" t="n"/>
      <c r="AK189" s="131" t="n"/>
      <c r="AL189" s="131" t="n"/>
      <c r="AM189" s="131" t="n"/>
      <c r="AN189" s="131" t="n"/>
      <c r="AO189" s="131" t="n"/>
    </row>
    <row r="190" ht="14.4" customFormat="1" customHeight="1" s="47">
      <c r="A190" s="208" t="n">
        <v>187</v>
      </c>
      <c r="B190" s="321" t="n"/>
      <c r="C190" s="321" t="n"/>
      <c r="D190" s="321" t="n"/>
      <c r="E190" s="208" t="inlineStr">
        <is>
          <t>膨胀力</t>
        </is>
      </c>
      <c r="F190" s="208" t="n"/>
      <c r="G190" s="312" t="inlineStr">
        <is>
          <t>件</t>
        </is>
      </c>
      <c r="H190" s="318" t="n"/>
      <c r="I190" s="312" t="n"/>
      <c r="J190" s="312" t="n"/>
      <c r="K190" s="312" t="n"/>
      <c r="L190" s="312" t="n"/>
      <c r="M190" s="313" t="n"/>
      <c r="N190" s="314">
        <f>H190*I190*M190</f>
        <v/>
      </c>
      <c r="O190" s="208" t="inlineStr">
        <is>
          <t>试验</t>
        </is>
      </c>
      <c r="P190" s="315" t="n"/>
      <c r="Q190" s="314">
        <f>N190*P190</f>
        <v/>
      </c>
      <c r="R190" s="314">
        <f>N190+Q190</f>
        <v/>
      </c>
      <c r="S190" s="312" t="inlineStr">
        <is>
          <t xml:space="preserve"> 表8.2-1</t>
        </is>
      </c>
      <c r="T190" s="312" t="n"/>
      <c r="U190" s="104" t="n"/>
      <c r="W190" s="154" t="n"/>
      <c r="X190" s="323" t="n">
        <v>36</v>
      </c>
      <c r="Y190" s="111" t="n"/>
      <c r="Z190" s="118" t="n">
        <v>1</v>
      </c>
      <c r="AA190" s="111" t="n"/>
      <c r="AB190" s="320">
        <f>VLOOKUP(O190,{"甲级","1.2";"乙级","1.0";"丙级","0.8";"试验","0.1"},2,0)</f>
        <v/>
      </c>
      <c r="AC190" s="111" t="n"/>
      <c r="AD190" s="317">
        <f>H190+AG190-X190</f>
        <v/>
      </c>
      <c r="AE190" s="317">
        <f>M190+AH190-Z190</f>
        <v/>
      </c>
      <c r="AF190" s="317">
        <f>P190+AI190-AB190</f>
        <v/>
      </c>
      <c r="AG190" s="131" t="n"/>
      <c r="AH190" s="131" t="n"/>
      <c r="AI190" s="131" t="n"/>
      <c r="AJ190" s="131" t="n"/>
      <c r="AK190" s="131" t="n"/>
      <c r="AL190" s="131" t="n"/>
      <c r="AM190" s="131" t="n"/>
      <c r="AN190" s="131" t="n"/>
      <c r="AO190" s="131" t="n"/>
    </row>
    <row r="191" ht="14.4" customFormat="1" customHeight="1" s="47">
      <c r="A191" s="208" t="n">
        <v>188</v>
      </c>
      <c r="B191" s="321" t="n"/>
      <c r="C191" s="321" t="n"/>
      <c r="D191" s="307" t="n"/>
      <c r="E191" s="208" t="inlineStr">
        <is>
          <t>收缩系数</t>
        </is>
      </c>
      <c r="F191" s="208" t="n"/>
      <c r="G191" s="312" t="inlineStr">
        <is>
          <t>件</t>
        </is>
      </c>
      <c r="H191" s="318" t="n"/>
      <c r="I191" s="312" t="n"/>
      <c r="J191" s="312" t="n"/>
      <c r="K191" s="312" t="n"/>
      <c r="L191" s="312" t="n"/>
      <c r="M191" s="313" t="n"/>
      <c r="N191" s="314">
        <f>H191*I191*M191</f>
        <v/>
      </c>
      <c r="O191" s="208" t="inlineStr">
        <is>
          <t>试验</t>
        </is>
      </c>
      <c r="P191" s="315" t="n"/>
      <c r="Q191" s="314">
        <f>N191*P191</f>
        <v/>
      </c>
      <c r="R191" s="314">
        <f>N191+Q191</f>
        <v/>
      </c>
      <c r="S191" s="312" t="inlineStr">
        <is>
          <t xml:space="preserve"> 表8.2-1</t>
        </is>
      </c>
      <c r="T191" s="312" t="n"/>
      <c r="U191" s="104" t="n"/>
      <c r="W191" s="154" t="n"/>
      <c r="X191" s="323" t="n">
        <v>56</v>
      </c>
      <c r="Y191" s="111" t="n"/>
      <c r="Z191" s="118" t="n">
        <v>1</v>
      </c>
      <c r="AA191" s="111" t="n"/>
      <c r="AB191" s="320">
        <f>VLOOKUP(O191,{"甲级","1.2";"乙级","1.0";"丙级","0.8";"试验","0.1"},2,0)</f>
        <v/>
      </c>
      <c r="AC191" s="111" t="n"/>
      <c r="AD191" s="317">
        <f>H191+AG191-X191</f>
        <v/>
      </c>
      <c r="AE191" s="317">
        <f>M191+AH191-Z191</f>
        <v/>
      </c>
      <c r="AF191" s="317">
        <f>P191+AI191-AB191</f>
        <v/>
      </c>
      <c r="AG191" s="131" t="n"/>
      <c r="AH191" s="131" t="n"/>
      <c r="AI191" s="131" t="n"/>
      <c r="AJ191" s="131" t="n"/>
      <c r="AK191" s="131" t="n"/>
      <c r="AL191" s="131" t="n"/>
      <c r="AM191" s="131" t="n"/>
      <c r="AN191" s="131" t="n"/>
      <c r="AO191" s="131" t="n"/>
    </row>
    <row r="192" ht="14.4" customFormat="1" customHeight="1" s="47">
      <c r="A192" s="208" t="n">
        <v>189</v>
      </c>
      <c r="B192" s="321" t="n"/>
      <c r="C192" s="321" t="n"/>
      <c r="D192" s="208" t="inlineStr">
        <is>
          <t>休止角（参考筛析法（沙、砾））</t>
        </is>
      </c>
      <c r="E192" s="304" t="n"/>
      <c r="F192" s="208" t="n"/>
      <c r="G192" s="312" t="inlineStr">
        <is>
          <t>件</t>
        </is>
      </c>
      <c r="H192" s="318" t="n"/>
      <c r="I192" s="312" t="n">
        <v>40</v>
      </c>
      <c r="J192" s="312" t="n"/>
      <c r="K192" s="312" t="n"/>
      <c r="L192" s="312" t="n"/>
      <c r="M192" s="313" t="n"/>
      <c r="N192" s="314">
        <f>H192*I192*M192</f>
        <v/>
      </c>
      <c r="O192" s="208" t="inlineStr">
        <is>
          <t>试验</t>
        </is>
      </c>
      <c r="P192" s="315" t="n"/>
      <c r="Q192" s="314">
        <f>N192*P192</f>
        <v/>
      </c>
      <c r="R192" s="314">
        <f>N192+Q192</f>
        <v/>
      </c>
      <c r="S192" s="312" t="inlineStr">
        <is>
          <t xml:space="preserve"> 表8.3-1</t>
        </is>
      </c>
      <c r="T192" s="312" t="n"/>
      <c r="U192" s="104" t="n"/>
      <c r="W192" s="154" t="n"/>
      <c r="X192" s="323" t="n">
        <v>26</v>
      </c>
      <c r="Y192" s="111" t="n"/>
      <c r="Z192" s="118" t="n">
        <v>1</v>
      </c>
      <c r="AA192" s="111" t="n"/>
      <c r="AB192" s="320">
        <f>VLOOKUP(O192,{"甲级","1.2";"乙级","1.0";"丙级","0.8";"试验","0.1"},2,0)</f>
        <v/>
      </c>
      <c r="AC192" s="111" t="n"/>
      <c r="AD192" s="317">
        <f>H192+AG192-X192</f>
        <v/>
      </c>
      <c r="AE192" s="317">
        <f>M192+AH192-Z192</f>
        <v/>
      </c>
      <c r="AF192" s="317">
        <f>P192+AI192-AB192</f>
        <v/>
      </c>
      <c r="AG192" s="131" t="n"/>
      <c r="AH192" s="131" t="n"/>
      <c r="AI192" s="131" t="n"/>
      <c r="AJ192" s="131" t="n"/>
      <c r="AK192" s="131" t="n"/>
      <c r="AL192" s="131" t="n"/>
      <c r="AM192" s="131" t="n"/>
      <c r="AN192" s="131" t="n"/>
      <c r="AO192" s="131" t="n"/>
    </row>
    <row r="193" ht="14.4" customFormat="1" customHeight="1" s="47">
      <c r="A193" s="208" t="n">
        <v>190</v>
      </c>
      <c r="B193" s="321" t="n"/>
      <c r="C193" s="321" t="n"/>
      <c r="D193" s="208" t="inlineStr">
        <is>
          <t>土腐蚀试验</t>
        </is>
      </c>
      <c r="E193" s="304" t="n"/>
      <c r="F193" s="208" t="n"/>
      <c r="G193" s="312" t="inlineStr">
        <is>
          <t>件</t>
        </is>
      </c>
      <c r="H193" s="318" t="n"/>
      <c r="I193" s="312" t="n"/>
      <c r="J193" s="312" t="n"/>
      <c r="K193" s="312" t="n"/>
      <c r="L193" s="312" t="n"/>
      <c r="M193" s="313" t="n"/>
      <c r="N193" s="314">
        <f>H193*I193*M193</f>
        <v/>
      </c>
      <c r="O193" s="208" t="inlineStr">
        <is>
          <t>试验</t>
        </is>
      </c>
      <c r="P193" s="315" t="n"/>
      <c r="Q193" s="314">
        <f>N193*P193</f>
        <v/>
      </c>
      <c r="R193" s="314">
        <f>N193+Q193</f>
        <v/>
      </c>
      <c r="S193" s="312" t="inlineStr">
        <is>
          <t xml:space="preserve"> 表8.3-1</t>
        </is>
      </c>
      <c r="T193" s="312" t="n"/>
      <c r="U193" s="104" t="n"/>
      <c r="W193" s="154" t="n"/>
      <c r="X193" s="323" t="n">
        <v>220</v>
      </c>
      <c r="Y193" s="111" t="n"/>
      <c r="Z193" s="118" t="n">
        <v>1</v>
      </c>
      <c r="AA193" s="111" t="n"/>
      <c r="AB193" s="320">
        <f>VLOOKUP(O193,{"甲级","1.2";"乙级","1.0";"丙级","0.8";"试验","0.1"},2,0)</f>
        <v/>
      </c>
      <c r="AC193" s="111" t="n"/>
      <c r="AD193" s="317">
        <f>H193+AG193-X193</f>
        <v/>
      </c>
      <c r="AE193" s="317">
        <f>M193+AH193-Z193</f>
        <v/>
      </c>
      <c r="AF193" s="317">
        <f>P193+AI193-AB193</f>
        <v/>
      </c>
      <c r="AG193" s="131" t="n"/>
      <c r="AH193" s="131" t="n"/>
      <c r="AI193" s="131" t="n"/>
      <c r="AJ193" s="131" t="n"/>
      <c r="AK193" s="131" t="n"/>
      <c r="AL193" s="131" t="n"/>
      <c r="AM193" s="131" t="n"/>
      <c r="AN193" s="131" t="n"/>
      <c r="AO193" s="131" t="n"/>
    </row>
    <row r="194" ht="14.4" customFormat="1" customHeight="1" s="47">
      <c r="A194" s="208" t="n">
        <v>191</v>
      </c>
      <c r="B194" s="321" t="n"/>
      <c r="C194" s="307" t="n"/>
      <c r="D194" s="208" t="inlineStr">
        <is>
          <t>水质简分析</t>
        </is>
      </c>
      <c r="E194" s="304" t="n"/>
      <c r="F194" s="208" t="n"/>
      <c r="G194" s="312" t="inlineStr">
        <is>
          <t>件</t>
        </is>
      </c>
      <c r="H194" s="318" t="n"/>
      <c r="I194" s="312" t="n">
        <v>7</v>
      </c>
      <c r="J194" s="312" t="n"/>
      <c r="K194" s="312" t="n"/>
      <c r="L194" s="312" t="n"/>
      <c r="M194" s="313" t="n"/>
      <c r="N194" s="314">
        <f>H194*I194*M194</f>
        <v/>
      </c>
      <c r="O194" s="208" t="inlineStr">
        <is>
          <t>试验</t>
        </is>
      </c>
      <c r="P194" s="315" t="n"/>
      <c r="Q194" s="314">
        <f>N194*P194</f>
        <v/>
      </c>
      <c r="R194" s="314">
        <f>N194+Q194</f>
        <v/>
      </c>
      <c r="S194" s="312" t="inlineStr">
        <is>
          <t xml:space="preserve"> 表8.3-1</t>
        </is>
      </c>
      <c r="T194" s="312" t="n"/>
      <c r="U194" s="104" t="n"/>
      <c r="W194" s="154" t="n"/>
      <c r="X194" s="323" t="n">
        <v>220</v>
      </c>
      <c r="Y194" s="111" t="n"/>
      <c r="Z194" s="118" t="n">
        <v>1</v>
      </c>
      <c r="AA194" s="111" t="n"/>
      <c r="AB194" s="320">
        <f>VLOOKUP(O194,{"甲级","1.2";"乙级","1.0";"丙级","0.8";"试验","0.1"},2,0)</f>
        <v/>
      </c>
      <c r="AC194" s="111" t="n"/>
      <c r="AD194" s="317">
        <f>H194+AG194-X194</f>
        <v/>
      </c>
      <c r="AE194" s="317">
        <f>M194+AH194-Z194</f>
        <v/>
      </c>
      <c r="AF194" s="317">
        <f>P194+AI194-AB194</f>
        <v/>
      </c>
      <c r="AG194" s="131" t="n"/>
      <c r="AH194" s="131" t="n"/>
      <c r="AI194" s="131" t="n"/>
      <c r="AJ194" s="131" t="n"/>
      <c r="AK194" s="131" t="n"/>
      <c r="AL194" s="131" t="n"/>
      <c r="AM194" s="131" t="n"/>
      <c r="AN194" s="131" t="n"/>
      <c r="AO194" s="131" t="n"/>
    </row>
    <row r="195" ht="14.4" customFormat="1" customHeight="1" s="47">
      <c r="A195" s="208" t="n">
        <v>192</v>
      </c>
      <c r="B195" s="321" t="n"/>
      <c r="C195" s="209" t="n"/>
      <c r="D195" s="158" t="n"/>
      <c r="E195" s="158" t="n"/>
      <c r="F195" s="208" t="n"/>
      <c r="G195" s="312" t="inlineStr">
        <is>
          <t>项</t>
        </is>
      </c>
      <c r="H195" s="318" t="n"/>
      <c r="I195" s="312" t="n"/>
      <c r="J195" s="312" t="n"/>
      <c r="K195" s="312" t="n"/>
      <c r="L195" s="312" t="n"/>
      <c r="M195" s="313" t="n"/>
      <c r="N195" s="314">
        <f>H195*I195*M195</f>
        <v/>
      </c>
      <c r="O195" s="208" t="inlineStr">
        <is>
          <t>试验</t>
        </is>
      </c>
      <c r="P195" s="315" t="n"/>
      <c r="Q195" s="314">
        <f>N195*P195</f>
        <v/>
      </c>
      <c r="R195" s="314">
        <f>N195+Q195</f>
        <v/>
      </c>
      <c r="S195" s="312" t="n"/>
      <c r="T195" s="312" t="inlineStr">
        <is>
          <t>室内试验单项</t>
        </is>
      </c>
      <c r="U195" s="104" t="n"/>
      <c r="W195" s="154" t="n"/>
      <c r="X195" s="323" t="n">
        <v>30000</v>
      </c>
      <c r="Y195" s="111" t="n"/>
      <c r="Z195" s="118" t="n">
        <v>1</v>
      </c>
      <c r="AA195" s="111" t="n"/>
      <c r="AB195" s="320">
        <f>VLOOKUP(O195,{"甲级","1.2";"乙级","1.0";"丙级","0.8";"试验","0.1"},2,0)</f>
        <v/>
      </c>
      <c r="AC195" s="111" t="n"/>
      <c r="AD195" s="317">
        <f>H195+AG195-X195</f>
        <v/>
      </c>
      <c r="AE195" s="317">
        <f>M195+AH195-Z195</f>
        <v/>
      </c>
      <c r="AF195" s="317">
        <f>P195+AI195-AB195</f>
        <v/>
      </c>
      <c r="AG195" s="131" t="n"/>
      <c r="AH195" s="131" t="n"/>
      <c r="AI195" s="131" t="n"/>
      <c r="AJ195" s="131" t="n"/>
      <c r="AK195" s="131" t="n"/>
      <c r="AL195" s="131" t="n"/>
      <c r="AM195" s="131" t="n"/>
      <c r="AN195" s="131" t="n"/>
      <c r="AO195" s="131" t="n"/>
    </row>
    <row r="196" ht="24" customFormat="1" customHeight="1" s="47">
      <c r="A196" s="208" t="n">
        <v>193</v>
      </c>
      <c r="B196" s="321" t="n"/>
      <c r="C196" s="209" t="inlineStr">
        <is>
          <t>岩石试验</t>
        </is>
      </c>
      <c r="D196" s="208" t="inlineStr">
        <is>
          <t>岩石加工</t>
        </is>
      </c>
      <c r="E196" s="208" t="inlineStr">
        <is>
          <t>Φ50～70岩芯</t>
        </is>
      </c>
      <c r="F196" s="208" t="n"/>
      <c r="G196" s="312" t="inlineStr">
        <is>
          <t>块</t>
        </is>
      </c>
      <c r="H196" s="318" t="n"/>
      <c r="I196" s="312" t="n">
        <v>202</v>
      </c>
      <c r="J196" s="312" t="n"/>
      <c r="K196" s="312" t="n"/>
      <c r="L196" s="312" t="n"/>
      <c r="M196" s="313" t="n"/>
      <c r="N196" s="314">
        <f>H196*I196*M196</f>
        <v/>
      </c>
      <c r="O196" s="208" t="inlineStr">
        <is>
          <t>试验</t>
        </is>
      </c>
      <c r="P196" s="315" t="n"/>
      <c r="Q196" s="314">
        <f>N196*P196</f>
        <v/>
      </c>
      <c r="R196" s="314">
        <f>N196+Q196</f>
        <v/>
      </c>
      <c r="S196" s="312" t="inlineStr">
        <is>
          <t xml:space="preserve"> 表8.4-1</t>
        </is>
      </c>
      <c r="T196" s="312" t="n"/>
      <c r="U196" s="104" t="n"/>
      <c r="W196" s="154" t="n"/>
      <c r="X196" s="323" t="n">
        <v>19</v>
      </c>
      <c r="Y196" s="111" t="n"/>
      <c r="Z196" s="118" t="n">
        <v>1</v>
      </c>
      <c r="AA196" s="111" t="n"/>
      <c r="AB196" s="320">
        <f>VLOOKUP(O196,{"甲级","1.2";"乙级","1.0";"丙级","0.8";"试验","0.1"},2,0)</f>
        <v/>
      </c>
      <c r="AC196" s="111" t="n"/>
      <c r="AD196" s="317">
        <f>H196+AG196-X196</f>
        <v/>
      </c>
      <c r="AE196" s="317">
        <f>M196+AH196-Z196</f>
        <v/>
      </c>
      <c r="AF196" s="317">
        <f>P196+AI196-AB196</f>
        <v/>
      </c>
      <c r="AG196" s="131" t="n"/>
      <c r="AH196" s="131" t="n"/>
      <c r="AI196" s="131" t="n"/>
      <c r="AJ196" s="131" t="n"/>
      <c r="AK196" s="131" t="n"/>
      <c r="AL196" s="131" t="n"/>
      <c r="AM196" s="131" t="n"/>
      <c r="AN196" s="131" t="n"/>
      <c r="AO196" s="131" t="n"/>
    </row>
    <row r="197" ht="14.4" customFormat="1" customHeight="1" s="47">
      <c r="A197" s="208" t="n">
        <v>194</v>
      </c>
      <c r="B197" s="321" t="n"/>
      <c r="C197" s="321" t="n"/>
      <c r="D197" s="208" t="inlineStr">
        <is>
          <t>含水率</t>
        </is>
      </c>
      <c r="E197" s="208" t="n"/>
      <c r="F197" s="208" t="n"/>
      <c r="G197" s="312" t="inlineStr">
        <is>
          <t>件</t>
        </is>
      </c>
      <c r="H197" s="318" t="n"/>
      <c r="I197" s="312" t="n"/>
      <c r="J197" s="312" t="n"/>
      <c r="K197" s="312" t="n"/>
      <c r="L197" s="312" t="n"/>
      <c r="M197" s="313" t="n"/>
      <c r="N197" s="314">
        <f>H197*I197*M197</f>
        <v/>
      </c>
      <c r="O197" s="208" t="inlineStr">
        <is>
          <t>试验</t>
        </is>
      </c>
      <c r="P197" s="315" t="n"/>
      <c r="Q197" s="314">
        <f>N197*P197</f>
        <v/>
      </c>
      <c r="R197" s="314">
        <f>N197+Q197</f>
        <v/>
      </c>
      <c r="S197" s="312" t="inlineStr">
        <is>
          <t xml:space="preserve"> 表8.4-1</t>
        </is>
      </c>
      <c r="T197" s="312" t="n"/>
      <c r="U197" s="104" t="n"/>
      <c r="W197" s="154" t="n"/>
      <c r="X197" s="323" t="n">
        <v>14</v>
      </c>
      <c r="Y197" s="111" t="n"/>
      <c r="Z197" s="118" t="n">
        <v>1</v>
      </c>
      <c r="AA197" s="111" t="n"/>
      <c r="AB197" s="320">
        <f>VLOOKUP(O197,{"甲级","1.2";"乙级","1.0";"丙级","0.8";"试验","0.1"},2,0)</f>
        <v/>
      </c>
      <c r="AC197" s="111" t="n"/>
      <c r="AD197" s="317">
        <f>H197+AG197-X197</f>
        <v/>
      </c>
      <c r="AE197" s="317">
        <f>M197+AH197-Z197</f>
        <v/>
      </c>
      <c r="AF197" s="317">
        <f>P197+AI197-AB197</f>
        <v/>
      </c>
      <c r="AG197" s="131" t="n"/>
      <c r="AH197" s="131" t="n"/>
      <c r="AI197" s="131" t="n"/>
      <c r="AJ197" s="131" t="n"/>
      <c r="AK197" s="131" t="n"/>
      <c r="AL197" s="131" t="n"/>
      <c r="AM197" s="131" t="n"/>
      <c r="AN197" s="131" t="n"/>
      <c r="AO197" s="131" t="n"/>
    </row>
    <row r="198" ht="14.4" customFormat="1" customHeight="1" s="47">
      <c r="A198" s="208" t="n">
        <v>195</v>
      </c>
      <c r="B198" s="321" t="n"/>
      <c r="C198" s="321" t="n"/>
      <c r="D198" s="208" t="inlineStr">
        <is>
          <t>块体密度</t>
        </is>
      </c>
      <c r="E198" s="208" t="inlineStr">
        <is>
          <t>蜡封法</t>
        </is>
      </c>
      <c r="F198" s="208" t="n"/>
      <c r="G198" s="312" t="inlineStr">
        <is>
          <t>件</t>
        </is>
      </c>
      <c r="H198" s="318" t="n"/>
      <c r="I198" s="312" t="n">
        <v>202</v>
      </c>
      <c r="J198" s="312" t="n"/>
      <c r="K198" s="312" t="n"/>
      <c r="L198" s="312" t="n"/>
      <c r="M198" s="313" t="n"/>
      <c r="N198" s="314">
        <f>H198*I198*M198</f>
        <v/>
      </c>
      <c r="O198" s="208" t="inlineStr">
        <is>
          <t>试验</t>
        </is>
      </c>
      <c r="P198" s="315" t="n"/>
      <c r="Q198" s="314">
        <f>N198*P198</f>
        <v/>
      </c>
      <c r="R198" s="314">
        <f>N198+Q198</f>
        <v/>
      </c>
      <c r="S198" s="312" t="inlineStr">
        <is>
          <t xml:space="preserve"> 表8.4-1</t>
        </is>
      </c>
      <c r="T198" s="312" t="n"/>
      <c r="U198" s="104" t="n"/>
      <c r="W198" s="154" t="n"/>
      <c r="X198" s="323" t="n">
        <v>18</v>
      </c>
      <c r="Y198" s="111" t="n"/>
      <c r="Z198" s="118" t="n">
        <v>1</v>
      </c>
      <c r="AA198" s="111" t="n"/>
      <c r="AB198" s="320">
        <f>VLOOKUP(O198,{"甲级","1.2";"乙级","1.0";"丙级","0.8";"试验","0.1"},2,0)</f>
        <v/>
      </c>
      <c r="AC198" s="111" t="n"/>
      <c r="AD198" s="317">
        <f>H198+AG198-X198</f>
        <v/>
      </c>
      <c r="AE198" s="317">
        <f>M198+AH198-Z198</f>
        <v/>
      </c>
      <c r="AF198" s="317">
        <f>P198+AI198-AB198</f>
        <v/>
      </c>
      <c r="AG198" s="131" t="n"/>
      <c r="AH198" s="131" t="n"/>
      <c r="AI198" s="131" t="n"/>
      <c r="AJ198" s="131" t="n"/>
      <c r="AK198" s="131" t="n"/>
      <c r="AL198" s="131" t="n"/>
      <c r="AM198" s="131" t="n"/>
      <c r="AN198" s="131" t="n"/>
      <c r="AO198" s="131" t="n"/>
    </row>
    <row r="199" ht="14.4" customFormat="1" customHeight="1" s="47">
      <c r="A199" s="208" t="n">
        <v>196</v>
      </c>
      <c r="B199" s="321" t="n"/>
      <c r="C199" s="321" t="n"/>
      <c r="D199" s="208" t="inlineStr">
        <is>
          <t>单轴抗压强度</t>
        </is>
      </c>
      <c r="E199" s="216" t="inlineStr">
        <is>
          <t>天然</t>
        </is>
      </c>
      <c r="F199" s="208" t="inlineStr">
        <is>
          <t>3块</t>
        </is>
      </c>
      <c r="G199" s="312" t="inlineStr">
        <is>
          <t>组</t>
        </is>
      </c>
      <c r="H199" s="318" t="n"/>
      <c r="I199" s="312" t="n">
        <v>202</v>
      </c>
      <c r="J199" s="312" t="n"/>
      <c r="K199" s="312" t="n"/>
      <c r="L199" s="312" t="n"/>
      <c r="M199" s="313" t="n"/>
      <c r="N199" s="314">
        <f>H199*I199*M199</f>
        <v/>
      </c>
      <c r="O199" s="208" t="inlineStr">
        <is>
          <t>试验</t>
        </is>
      </c>
      <c r="P199" s="315" t="n"/>
      <c r="Q199" s="314">
        <f>N199*P199</f>
        <v/>
      </c>
      <c r="R199" s="314">
        <f>N199+Q199</f>
        <v/>
      </c>
      <c r="S199" s="312" t="inlineStr">
        <is>
          <t xml:space="preserve"> 表8.4-1</t>
        </is>
      </c>
      <c r="T199" s="312" t="n"/>
      <c r="U199" s="104" t="n"/>
      <c r="W199" s="154" t="n"/>
      <c r="X199" s="323" t="n">
        <v>47</v>
      </c>
      <c r="Y199" s="111" t="n"/>
      <c r="Z199" s="118" t="n">
        <v>1</v>
      </c>
      <c r="AA199" s="111" t="n"/>
      <c r="AB199" s="320">
        <f>VLOOKUP(O199,{"甲级","1.2";"乙级","1.0";"丙级","0.8";"试验","0.1"},2,0)</f>
        <v/>
      </c>
      <c r="AC199" s="111" t="n"/>
      <c r="AD199" s="317">
        <f>H199+AG199-X199</f>
        <v/>
      </c>
      <c r="AE199" s="317">
        <f>M199+AH199-Z199</f>
        <v/>
      </c>
      <c r="AF199" s="317">
        <f>P199+AI199-AB199</f>
        <v/>
      </c>
      <c r="AG199" s="131" t="n"/>
      <c r="AH199" s="131" t="n"/>
      <c r="AI199" s="131" t="n"/>
      <c r="AJ199" s="131" t="n"/>
      <c r="AK199" s="131" t="n"/>
      <c r="AL199" s="131" t="n"/>
      <c r="AM199" s="131" t="n"/>
      <c r="AN199" s="131" t="n"/>
      <c r="AO199" s="131" t="n"/>
    </row>
    <row r="200" ht="14.4" customFormat="1" customHeight="1" s="47">
      <c r="A200" s="208" t="n">
        <v>197</v>
      </c>
      <c r="B200" s="321" t="n"/>
      <c r="C200" s="321" t="n"/>
      <c r="D200" s="307" t="n"/>
      <c r="E200" s="216" t="inlineStr">
        <is>
          <t>饱和</t>
        </is>
      </c>
      <c r="F200" s="208" t="inlineStr">
        <is>
          <t>3块</t>
        </is>
      </c>
      <c r="G200" s="312" t="inlineStr">
        <is>
          <t>组</t>
        </is>
      </c>
      <c r="H200" s="318" t="n"/>
      <c r="I200" s="312" t="n">
        <v>202</v>
      </c>
      <c r="J200" s="312" t="n"/>
      <c r="K200" s="312" t="n"/>
      <c r="L200" s="312" t="n"/>
      <c r="M200" s="313" t="n"/>
      <c r="N200" s="314">
        <f>H200*I200*M200</f>
        <v/>
      </c>
      <c r="O200" s="208" t="inlineStr">
        <is>
          <t>试验</t>
        </is>
      </c>
      <c r="P200" s="315" t="n"/>
      <c r="Q200" s="314">
        <f>N200*P200</f>
        <v/>
      </c>
      <c r="R200" s="314">
        <f>N200+Q200</f>
        <v/>
      </c>
      <c r="S200" s="312" t="inlineStr">
        <is>
          <t xml:space="preserve"> 表8.4-1</t>
        </is>
      </c>
      <c r="T200" s="312" t="n"/>
      <c r="U200" s="104" t="n"/>
      <c r="W200" s="154" t="n"/>
      <c r="X200" s="323" t="n">
        <v>70</v>
      </c>
      <c r="Y200" s="111" t="n"/>
      <c r="Z200" s="118" t="n">
        <v>1</v>
      </c>
      <c r="AA200" s="111" t="n"/>
      <c r="AB200" s="320">
        <f>VLOOKUP(O200,{"甲级","1.2";"乙级","1.0";"丙级","0.8";"试验","0.1"},2,0)</f>
        <v/>
      </c>
      <c r="AC200" s="111" t="n"/>
      <c r="AD200" s="317">
        <f>H200+AG200-X200</f>
        <v/>
      </c>
      <c r="AE200" s="317">
        <f>M200+AH200-Z200</f>
        <v/>
      </c>
      <c r="AF200" s="317">
        <f>P200+AI200-AB200</f>
        <v/>
      </c>
      <c r="AG200" s="131" t="n"/>
      <c r="AH200" s="131" t="n"/>
      <c r="AI200" s="131" t="n"/>
      <c r="AJ200" s="131" t="n"/>
      <c r="AK200" s="131" t="n"/>
      <c r="AL200" s="131" t="n"/>
      <c r="AM200" s="131" t="n"/>
      <c r="AN200" s="131" t="n"/>
      <c r="AO200" s="131" t="n"/>
    </row>
    <row r="201" ht="14.4" customFormat="1" customHeight="1" s="47">
      <c r="A201" s="208" t="n">
        <v>198</v>
      </c>
      <c r="B201" s="321" t="n"/>
      <c r="C201" s="321" t="n"/>
      <c r="D201" s="208" t="inlineStr">
        <is>
          <t>单轴压缩变形</t>
        </is>
      </c>
      <c r="E201" s="216" t="inlineStr">
        <is>
          <t>干</t>
        </is>
      </c>
      <c r="F201" s="208" t="inlineStr">
        <is>
          <t>3块</t>
        </is>
      </c>
      <c r="G201" s="312" t="inlineStr">
        <is>
          <t>组</t>
        </is>
      </c>
      <c r="H201" s="318" t="n"/>
      <c r="I201" s="312" t="n"/>
      <c r="J201" s="312" t="n"/>
      <c r="K201" s="312" t="n"/>
      <c r="L201" s="312" t="n"/>
      <c r="M201" s="313" t="n"/>
      <c r="N201" s="314">
        <f>H201*I201*M201</f>
        <v/>
      </c>
      <c r="O201" s="208" t="inlineStr">
        <is>
          <t>试验</t>
        </is>
      </c>
      <c r="P201" s="315" t="n"/>
      <c r="Q201" s="314">
        <f>N201*P201</f>
        <v/>
      </c>
      <c r="R201" s="314">
        <f>N201+Q201</f>
        <v/>
      </c>
      <c r="S201" s="312" t="inlineStr">
        <is>
          <t xml:space="preserve"> 表8.4-1</t>
        </is>
      </c>
      <c r="T201" s="312" t="n"/>
      <c r="U201" s="104" t="n"/>
      <c r="W201" s="154" t="n"/>
      <c r="X201" s="323" t="n">
        <v>185</v>
      </c>
      <c r="Y201" s="111" t="n"/>
      <c r="Z201" s="118" t="n">
        <v>1</v>
      </c>
      <c r="AA201" s="111" t="n"/>
      <c r="AB201" s="320">
        <f>VLOOKUP(O201,{"甲级","1.2";"乙级","1.0";"丙级","0.8";"试验","0.1"},2,0)</f>
        <v/>
      </c>
      <c r="AC201" s="111" t="n"/>
      <c r="AD201" s="317">
        <f>H201+AG201-X201</f>
        <v/>
      </c>
      <c r="AE201" s="317">
        <f>M201+AH201-Z201</f>
        <v/>
      </c>
      <c r="AF201" s="317">
        <f>P201+AI201-AB201</f>
        <v/>
      </c>
      <c r="AG201" s="131" t="n"/>
      <c r="AH201" s="131" t="n"/>
      <c r="AI201" s="131" t="n"/>
      <c r="AJ201" s="131" t="n"/>
      <c r="AK201" s="131" t="n"/>
      <c r="AL201" s="131" t="n"/>
      <c r="AM201" s="131" t="n"/>
      <c r="AN201" s="131" t="n"/>
      <c r="AO201" s="131" t="n"/>
    </row>
    <row r="202" ht="14.4" customFormat="1" customHeight="1" s="47">
      <c r="A202" s="208" t="n">
        <v>199</v>
      </c>
      <c r="B202" s="321" t="n"/>
      <c r="C202" s="321" t="n"/>
      <c r="D202" s="307" t="n"/>
      <c r="E202" s="216" t="inlineStr">
        <is>
          <t>饱和</t>
        </is>
      </c>
      <c r="F202" s="208" t="inlineStr">
        <is>
          <t>3块</t>
        </is>
      </c>
      <c r="G202" s="312" t="inlineStr">
        <is>
          <t>组</t>
        </is>
      </c>
      <c r="H202" s="318" t="n"/>
      <c r="I202" s="312" t="n"/>
      <c r="J202" s="312" t="n"/>
      <c r="K202" s="312" t="n"/>
      <c r="L202" s="312" t="n"/>
      <c r="M202" s="313" t="n"/>
      <c r="N202" s="314">
        <f>H202*I202*M202</f>
        <v/>
      </c>
      <c r="O202" s="208" t="inlineStr">
        <is>
          <t>试验</t>
        </is>
      </c>
      <c r="P202" s="315" t="n"/>
      <c r="Q202" s="314">
        <f>N202*P202</f>
        <v/>
      </c>
      <c r="R202" s="314">
        <f>N202+Q202</f>
        <v/>
      </c>
      <c r="S202" s="312" t="inlineStr">
        <is>
          <t xml:space="preserve"> 表8.4-1</t>
        </is>
      </c>
      <c r="T202" s="312" t="n"/>
      <c r="U202" s="104" t="n"/>
      <c r="W202" s="154" t="n"/>
      <c r="X202" s="323" t="n">
        <v>233</v>
      </c>
      <c r="Y202" s="111" t="n"/>
      <c r="Z202" s="118" t="n">
        <v>1</v>
      </c>
      <c r="AA202" s="111" t="n"/>
      <c r="AB202" s="320">
        <f>VLOOKUP(O202,{"甲级","1.2";"乙级","1.0";"丙级","0.8";"试验","0.1"},2,0)</f>
        <v/>
      </c>
      <c r="AC202" s="111" t="n"/>
      <c r="AD202" s="317">
        <f>H202+AG202-X202</f>
        <v/>
      </c>
      <c r="AE202" s="317">
        <f>M202+AH202-Z202</f>
        <v/>
      </c>
      <c r="AF202" s="317">
        <f>P202+AI202-AB202</f>
        <v/>
      </c>
      <c r="AG202" s="131" t="n"/>
      <c r="AH202" s="131" t="n"/>
      <c r="AI202" s="131" t="n"/>
      <c r="AJ202" s="131" t="n"/>
      <c r="AK202" s="131" t="n"/>
      <c r="AL202" s="131" t="n"/>
      <c r="AM202" s="131" t="n"/>
      <c r="AN202" s="131" t="n"/>
      <c r="AO202" s="131" t="n"/>
    </row>
    <row r="203" ht="14.4" customFormat="1" customHeight="1" s="47">
      <c r="A203" s="208" t="n">
        <v>200</v>
      </c>
      <c r="B203" s="321" t="n"/>
      <c r="C203" s="321" t="n"/>
      <c r="D203" s="208" t="inlineStr">
        <is>
          <t>抗拉强度</t>
        </is>
      </c>
      <c r="E203" s="208" t="n"/>
      <c r="F203" s="208" t="n"/>
      <c r="G203" s="312" t="inlineStr">
        <is>
          <t>组</t>
        </is>
      </c>
      <c r="H203" s="318" t="n"/>
      <c r="I203" s="312" t="n"/>
      <c r="J203" s="312" t="n"/>
      <c r="K203" s="312" t="n"/>
      <c r="L203" s="312" t="n"/>
      <c r="M203" s="313" t="n"/>
      <c r="N203" s="314">
        <f>H203*I203*M203</f>
        <v/>
      </c>
      <c r="O203" s="208" t="inlineStr">
        <is>
          <t>试验</t>
        </is>
      </c>
      <c r="P203" s="315" t="n"/>
      <c r="Q203" s="314">
        <f>N203*P203</f>
        <v/>
      </c>
      <c r="R203" s="314">
        <f>N203+Q203</f>
        <v/>
      </c>
      <c r="S203" s="312" t="inlineStr">
        <is>
          <t xml:space="preserve"> 表8.4-1</t>
        </is>
      </c>
      <c r="T203" s="312" t="n"/>
      <c r="U203" s="104" t="n"/>
      <c r="W203" s="154" t="n"/>
      <c r="X203" s="323" t="n">
        <v>93</v>
      </c>
      <c r="Y203" s="111" t="n"/>
      <c r="Z203" s="118" t="n">
        <v>1</v>
      </c>
      <c r="AA203" s="111" t="n"/>
      <c r="AB203" s="320">
        <f>VLOOKUP(O203,{"甲级","1.2";"乙级","1.0";"丙级","0.8";"试验","0.1"},2,0)</f>
        <v/>
      </c>
      <c r="AC203" s="111" t="n"/>
      <c r="AD203" s="317">
        <f>H203+AG203-X203</f>
        <v/>
      </c>
      <c r="AE203" s="317">
        <f>M203+AH203-Z203</f>
        <v/>
      </c>
      <c r="AF203" s="317">
        <f>P203+AI203-AB203</f>
        <v/>
      </c>
      <c r="AG203" s="131" t="n"/>
      <c r="AH203" s="131" t="n"/>
      <c r="AI203" s="131" t="n"/>
      <c r="AJ203" s="131" t="n"/>
      <c r="AK203" s="131" t="n"/>
      <c r="AL203" s="131" t="n"/>
      <c r="AM203" s="131" t="n"/>
      <c r="AN203" s="131" t="n"/>
      <c r="AO203" s="131" t="n"/>
    </row>
    <row r="204" ht="14.4" customFormat="1" customHeight="1" s="47">
      <c r="A204" s="208" t="n">
        <v>201</v>
      </c>
      <c r="B204" s="321" t="n"/>
      <c r="C204" s="321" t="n"/>
      <c r="D204" s="208" t="inlineStr">
        <is>
          <t>直剪</t>
        </is>
      </c>
      <c r="E204" s="208" t="inlineStr">
        <is>
          <t>岩块</t>
        </is>
      </c>
      <c r="F204" s="208" t="inlineStr">
        <is>
          <t>5块</t>
        </is>
      </c>
      <c r="G204" s="312" t="inlineStr">
        <is>
          <t>组</t>
        </is>
      </c>
      <c r="H204" s="328" t="n"/>
      <c r="I204" s="312" t="n">
        <v>101</v>
      </c>
      <c r="J204" s="312" t="n"/>
      <c r="K204" s="312" t="n"/>
      <c r="L204" s="312" t="n"/>
      <c r="M204" s="313" t="n"/>
      <c r="N204" s="314">
        <f>H204*I204*M204</f>
        <v/>
      </c>
      <c r="O204" s="208" t="inlineStr">
        <is>
          <t>试验</t>
        </is>
      </c>
      <c r="P204" s="315" t="n"/>
      <c r="Q204" s="314">
        <f>N204*P204</f>
        <v/>
      </c>
      <c r="R204" s="314">
        <f>N204+Q204</f>
        <v/>
      </c>
      <c r="S204" s="312" t="inlineStr">
        <is>
          <t xml:space="preserve"> 表8.4-1</t>
        </is>
      </c>
      <c r="T204" s="312" t="n"/>
      <c r="U204" s="104" t="n"/>
      <c r="W204" s="154" t="n"/>
      <c r="X204" s="323" t="n">
        <v>269</v>
      </c>
      <c r="Y204" s="111" t="n"/>
      <c r="Z204" s="118" t="n">
        <v>1</v>
      </c>
      <c r="AA204" s="111" t="n"/>
      <c r="AB204" s="320">
        <f>VLOOKUP(O204,{"甲级","1.2";"乙级","1.0";"丙级","0.8";"试验","0.1"},2,0)</f>
        <v/>
      </c>
      <c r="AC204" s="111" t="n"/>
      <c r="AD204" s="317">
        <f>H204+AG204-X204</f>
        <v/>
      </c>
      <c r="AE204" s="317">
        <f>M204+AH204-Z204</f>
        <v/>
      </c>
      <c r="AF204" s="317">
        <f>P204+AI204-AB204</f>
        <v/>
      </c>
      <c r="AG204" s="131" t="n"/>
      <c r="AH204" s="131" t="n"/>
      <c r="AI204" s="131" t="n"/>
      <c r="AJ204" s="131" t="n"/>
      <c r="AK204" s="131" t="n"/>
      <c r="AL204" s="131" t="n"/>
      <c r="AM204" s="131" t="n"/>
      <c r="AN204" s="131" t="n"/>
      <c r="AO204" s="131" t="n"/>
    </row>
    <row r="205" ht="14.4" customFormat="1" customHeight="1" s="47">
      <c r="A205" s="208" t="n">
        <v>202</v>
      </c>
      <c r="B205" s="321" t="n"/>
      <c r="C205" s="321" t="n"/>
      <c r="D205" s="307" t="n"/>
      <c r="E205" s="208" t="inlineStr">
        <is>
          <t>结构面</t>
        </is>
      </c>
      <c r="F205" s="208" t="inlineStr">
        <is>
          <t>5块</t>
        </is>
      </c>
      <c r="G205" s="312" t="inlineStr">
        <is>
          <t>组</t>
        </is>
      </c>
      <c r="H205" s="328" t="n"/>
      <c r="I205" s="312" t="n"/>
      <c r="J205" s="312" t="n"/>
      <c r="K205" s="312" t="n"/>
      <c r="L205" s="312" t="n"/>
      <c r="M205" s="313" t="n"/>
      <c r="N205" s="314">
        <f>H205*I205*M205</f>
        <v/>
      </c>
      <c r="O205" s="208" t="inlineStr">
        <is>
          <t>试验</t>
        </is>
      </c>
      <c r="P205" s="315" t="n"/>
      <c r="Q205" s="314">
        <f>N205*P205</f>
        <v/>
      </c>
      <c r="R205" s="314">
        <f>N205+Q205</f>
        <v/>
      </c>
      <c r="S205" s="312" t="inlineStr">
        <is>
          <t xml:space="preserve"> 表8.4-1</t>
        </is>
      </c>
      <c r="T205" s="312" t="n"/>
      <c r="U205" s="104" t="n"/>
      <c r="W205" s="154" t="n"/>
      <c r="X205" s="323" t="n">
        <v>289</v>
      </c>
      <c r="Y205" s="111" t="n"/>
      <c r="Z205" s="118" t="n">
        <v>1</v>
      </c>
      <c r="AA205" s="111" t="n"/>
      <c r="AB205" s="320">
        <f>VLOOKUP(O205,{"甲级","1.2";"乙级","1.0";"丙级","0.8";"试验","0.1"},2,0)</f>
        <v/>
      </c>
      <c r="AC205" s="111" t="n"/>
      <c r="AD205" s="317">
        <f>H205+AG205-X205</f>
        <v/>
      </c>
      <c r="AE205" s="317">
        <f>M205+AH205-Z205</f>
        <v/>
      </c>
      <c r="AF205" s="317">
        <f>P205+AI205-AB205</f>
        <v/>
      </c>
      <c r="AG205" s="131" t="n"/>
      <c r="AH205" s="131" t="n"/>
      <c r="AI205" s="131" t="n"/>
      <c r="AJ205" s="131" t="n"/>
      <c r="AK205" s="131" t="n"/>
      <c r="AL205" s="131" t="n"/>
      <c r="AM205" s="131" t="n"/>
      <c r="AN205" s="131" t="n"/>
      <c r="AO205" s="131" t="n"/>
    </row>
    <row r="206" ht="14.4" customFormat="1" customHeight="1" s="47">
      <c r="A206" s="208" t="n">
        <v>203</v>
      </c>
      <c r="B206" s="321" t="n"/>
      <c r="C206" s="321" t="n"/>
      <c r="D206" s="208" t="inlineStr">
        <is>
          <t>点荷载强度</t>
        </is>
      </c>
      <c r="E206" s="304" t="n"/>
      <c r="F206" s="208" t="n"/>
      <c r="G206" s="312" t="inlineStr">
        <is>
          <t>块</t>
        </is>
      </c>
      <c r="H206" s="318" t="n"/>
      <c r="I206" s="312" t="n">
        <v>36</v>
      </c>
      <c r="J206" s="312" t="n"/>
      <c r="K206" s="312" t="n"/>
      <c r="L206" s="312" t="n"/>
      <c r="M206" s="313" t="n"/>
      <c r="N206" s="314">
        <f>H206*I206*M206</f>
        <v/>
      </c>
      <c r="O206" s="208" t="inlineStr">
        <is>
          <t>试验</t>
        </is>
      </c>
      <c r="P206" s="315" t="n"/>
      <c r="Q206" s="314">
        <f>N206*P206</f>
        <v/>
      </c>
      <c r="R206" s="314">
        <f>N206+Q206</f>
        <v/>
      </c>
      <c r="S206" s="312" t="inlineStr">
        <is>
          <t xml:space="preserve"> 表8.4-1</t>
        </is>
      </c>
      <c r="T206" s="312" t="n"/>
      <c r="U206" s="104" t="n"/>
      <c r="W206" s="154" t="n"/>
      <c r="X206" s="323" t="n">
        <v>26</v>
      </c>
      <c r="Y206" s="111" t="n"/>
      <c r="Z206" s="118" t="n">
        <v>1</v>
      </c>
      <c r="AA206" s="111" t="n"/>
      <c r="AB206" s="320">
        <f>VLOOKUP(O206,{"甲级","1.2";"乙级","1.0";"丙级","0.8";"试验","0.1"},2,0)</f>
        <v/>
      </c>
      <c r="AC206" s="111" t="n"/>
      <c r="AD206" s="317">
        <f>H206+AG206-X206</f>
        <v/>
      </c>
      <c r="AE206" s="317">
        <f>M206+AH206-Z206</f>
        <v/>
      </c>
      <c r="AF206" s="317">
        <f>P206+AI206-AB206</f>
        <v/>
      </c>
      <c r="AG206" s="131" t="n"/>
      <c r="AH206" s="131" t="n"/>
      <c r="AI206" s="131" t="n"/>
      <c r="AJ206" s="131" t="n"/>
      <c r="AK206" s="131" t="n"/>
      <c r="AL206" s="131" t="n"/>
      <c r="AM206" s="131" t="n"/>
      <c r="AN206" s="131" t="n"/>
      <c r="AO206" s="131" t="n"/>
    </row>
    <row r="207" ht="22.5" customFormat="1" customHeight="1" s="47">
      <c r="A207" s="208" t="n">
        <v>204</v>
      </c>
      <c r="B207" s="307" t="n"/>
      <c r="C207" s="307" t="n"/>
      <c r="D207" s="218" t="inlineStr">
        <is>
          <t>薄片鉴定</t>
        </is>
      </c>
      <c r="E207" s="324" t="n"/>
      <c r="F207" s="276" t="n"/>
      <c r="G207" s="329" t="inlineStr">
        <is>
          <t>件</t>
        </is>
      </c>
      <c r="H207" s="330" t="n"/>
      <c r="I207" s="312" t="n"/>
      <c r="J207" s="312" t="n"/>
      <c r="K207" s="312" t="n"/>
      <c r="L207" s="312" t="n"/>
      <c r="M207" s="313" t="n"/>
      <c r="N207" s="314">
        <f>H207*I207*M207</f>
        <v/>
      </c>
      <c r="O207" s="208" t="inlineStr">
        <is>
          <t>试验</t>
        </is>
      </c>
      <c r="P207" s="315" t="n"/>
      <c r="Q207" s="314">
        <f>N207*P207</f>
        <v/>
      </c>
      <c r="R207" s="314">
        <f>N207+Q207</f>
        <v/>
      </c>
      <c r="S207" s="312" t="inlineStr">
        <is>
          <t xml:space="preserve"> 表8.4-1</t>
        </is>
      </c>
      <c r="T207" s="312" t="n"/>
      <c r="U207" s="104" t="n"/>
      <c r="W207" s="154" t="n"/>
      <c r="X207" s="323" t="n">
        <v>52</v>
      </c>
      <c r="Y207" s="111" t="n"/>
      <c r="Z207" s="118" t="n">
        <v>1</v>
      </c>
      <c r="AA207" s="111" t="n"/>
      <c r="AB207" s="320">
        <f>VLOOKUP(O207,{"甲级","1.2";"乙级","1.0";"丙级","0.8";"试验","0.1"},2,0)</f>
        <v/>
      </c>
      <c r="AC207" s="111" t="n"/>
      <c r="AD207" s="317">
        <f>H207+AG207-X207</f>
        <v/>
      </c>
      <c r="AE207" s="317">
        <f>M207+AH207-Z207</f>
        <v/>
      </c>
      <c r="AF207" s="317">
        <f>P207+AI207-AB207</f>
        <v/>
      </c>
      <c r="AG207" s="131" t="n"/>
      <c r="AH207" s="131" t="n"/>
      <c r="AI207" s="131" t="n"/>
      <c r="AJ207" s="131" t="n"/>
      <c r="AK207" s="131" t="n"/>
      <c r="AL207" s="131" t="n"/>
      <c r="AM207" s="131" t="n"/>
      <c r="AN207" s="131" t="n"/>
      <c r="AO207" s="131" t="n"/>
    </row>
    <row r="208" ht="22.5" customFormat="1" customHeight="1" s="148">
      <c r="A208" s="64" t="inlineStr">
        <is>
          <t>合计</t>
        </is>
      </c>
      <c r="B208" s="331" t="inlineStr">
        <is>
          <t>合计</t>
        </is>
      </c>
      <c r="C208" s="303" t="n"/>
      <c r="D208" s="303" t="n"/>
      <c r="E208" s="303" t="n"/>
      <c r="F208" s="303" t="n"/>
      <c r="G208" s="303" t="n"/>
      <c r="H208" s="303" t="n"/>
      <c r="I208" s="303" t="n"/>
      <c r="J208" s="303" t="n"/>
      <c r="K208" s="303" t="n"/>
      <c r="L208" s="303" t="n"/>
      <c r="M208" s="304" t="n"/>
      <c r="N208" s="332">
        <f>SUM(N5:N207)</f>
        <v/>
      </c>
      <c r="O208" s="333" t="n"/>
      <c r="P208" s="334" t="n"/>
      <c r="Q208" s="332">
        <f>SUM(Q5:Q207)</f>
        <v/>
      </c>
      <c r="R208" s="332">
        <f>SUM(R5:R207)</f>
        <v/>
      </c>
      <c r="S208" s="190" t="n"/>
      <c r="T208" s="190" t="n"/>
      <c r="U208" s="201" t="n"/>
      <c r="W208" s="204" t="n"/>
      <c r="X208" s="335" t="n"/>
      <c r="Y208" s="185" t="n"/>
      <c r="Z208" s="203" t="n"/>
      <c r="AA208" s="185" t="n"/>
      <c r="AB208" s="336" t="n"/>
      <c r="AC208" s="185" t="n"/>
      <c r="AD208" s="195" t="n"/>
      <c r="AE208" s="195" t="n"/>
      <c r="AF208" s="195" t="n"/>
      <c r="AG208" s="195" t="n"/>
      <c r="AH208" s="195" t="n"/>
      <c r="AI208" s="195" t="n"/>
      <c r="AJ208" s="195" t="n"/>
      <c r="AK208" s="195" t="n"/>
      <c r="AL208" s="195" t="n"/>
      <c r="AM208" s="195" t="n"/>
      <c r="AN208" s="195" t="n"/>
      <c r="AO208" s="195" t="n"/>
    </row>
    <row r="209" ht="22.5" customFormat="1" customHeight="1" s="47">
      <c r="B209" s="148" t="n"/>
      <c r="C209" s="156" t="n"/>
      <c r="E209" s="149" t="n"/>
      <c r="H209" s="337" t="n"/>
      <c r="M209" s="338" t="n"/>
      <c r="N209" s="339" t="n"/>
      <c r="P209" s="340" t="n"/>
      <c r="Q209" s="172" t="n"/>
      <c r="R209" s="172" t="n"/>
      <c r="U209" s="104" t="n"/>
      <c r="W209" s="154" t="n"/>
      <c r="X209" s="65" t="n"/>
      <c r="Y209" s="105" t="n"/>
      <c r="Z209" s="65" t="n"/>
      <c r="AA209" s="105" t="n"/>
      <c r="AB209" s="300" t="n"/>
      <c r="AC209" s="105" t="n"/>
      <c r="AD209" s="96" t="n"/>
      <c r="AE209" s="96" t="n"/>
      <c r="AF209" s="96" t="n"/>
      <c r="AG209" s="96" t="n"/>
      <c r="AH209" s="96" t="n"/>
      <c r="AI209" s="96" t="n"/>
      <c r="AJ209" s="96" t="n"/>
      <c r="AK209" s="96" t="n"/>
      <c r="AL209" s="96" t="n"/>
      <c r="AM209" s="96" t="n"/>
      <c r="AN209" s="96" t="n"/>
      <c r="AO209" s="96" t="n"/>
    </row>
    <row r="210" ht="22.5" customHeight="1" s="301">
      <c r="M210" s="2" t="n"/>
      <c r="N210" s="2" t="n"/>
      <c r="P210" s="2" t="n"/>
      <c r="Q210" s="2" t="n"/>
      <c r="Z210" s="341" t="inlineStr">
        <is>
          <t>【实物工作费附加调整系数】</t>
        </is>
      </c>
      <c r="AB210" s="341" t="inlineStr">
        <is>
          <t>【技术工作费附加调整系数】</t>
        </is>
      </c>
      <c r="AC210" s="341" t="n"/>
    </row>
    <row r="211" ht="22.5" customHeight="1" s="301">
      <c r="M211" s="2" t="n"/>
      <c r="N211" s="2" t="n"/>
      <c r="P211" s="2" t="n"/>
      <c r="Q211" s="2" t="n"/>
      <c r="Z211" s="341" t="inlineStr">
        <is>
          <t>泥浆护壁系数1.5</t>
        </is>
      </c>
      <c r="AB211" s="341" t="inlineStr">
        <is>
          <t>此列规则明确，不需要经验数</t>
        </is>
      </c>
      <c r="AC211" s="341" t="n"/>
    </row>
    <row r="212" ht="22.5" customHeight="1" s="301">
      <c r="M212" s="2" t="n"/>
      <c r="N212" s="2" t="n"/>
      <c r="P212" s="2" t="n"/>
      <c r="Q212" s="2" t="n"/>
      <c r="Z212" s="341" t="inlineStr">
        <is>
          <t>水上作业系数:2.5</t>
        </is>
      </c>
      <c r="AB212" s="341" t="n"/>
      <c r="AC212" s="341" t="n"/>
    </row>
    <row r="213" ht="22.5" customHeight="1" s="301">
      <c r="M213" s="2" t="n"/>
      <c r="N213" s="2" t="n"/>
      <c r="P213" s="2" t="n"/>
      <c r="Q213" s="2" t="n"/>
      <c r="Z213" s="341" t="n"/>
      <c r="AB213" s="341" t="n"/>
      <c r="AC213" s="341" t="n"/>
    </row>
    <row r="214" ht="22.5" customHeight="1" s="301">
      <c r="M214" s="2" t="n"/>
      <c r="N214" s="2" t="n"/>
      <c r="P214" s="2" t="n"/>
      <c r="Q214" s="2" t="n"/>
      <c r="Z214" s="341" t="n"/>
      <c r="AB214" s="341" t="n"/>
      <c r="AC214" s="341" t="n"/>
    </row>
    <row r="215" ht="22.5" customHeight="1" s="301">
      <c r="M215" s="2" t="n"/>
      <c r="N215" s="2" t="n"/>
      <c r="P215" s="2" t="n"/>
      <c r="Q215" s="2" t="n"/>
      <c r="Z215" s="341" t="n"/>
      <c r="AB215" s="341" t="n"/>
      <c r="AC215" s="341" t="n"/>
    </row>
    <row r="216" ht="22.5" customHeight="1" s="301">
      <c r="M216" s="2" t="n"/>
      <c r="N216" s="2" t="n"/>
      <c r="P216" s="2" t="n"/>
      <c r="Q216" s="2" t="n"/>
      <c r="Z216" s="341" t="n"/>
      <c r="AB216" s="341" t="n"/>
      <c r="AC216" s="341" t="n"/>
    </row>
    <row r="217" ht="22.5" customHeight="1" s="301">
      <c r="M217" s="2" t="n"/>
      <c r="N217" s="2" t="n"/>
      <c r="P217" s="2" t="n"/>
      <c r="Q217" s="2" t="n"/>
      <c r="Z217" s="341" t="inlineStr">
        <is>
          <t>默认;1.0</t>
        </is>
      </c>
      <c r="AB217" s="341" t="n"/>
      <c r="AC217" s="341" t="n"/>
    </row>
  </sheetData>
  <autoFilter ref="A3:AT208">
    <filterColumn colId="1" hiddenButton="0" showButton="0"/>
  </autoFilter>
  <mergeCells count="93">
    <mergeCell ref="C108:C111"/>
    <mergeCell ref="C62:D66"/>
    <mergeCell ref="C94:C95"/>
    <mergeCell ref="C121:C122"/>
    <mergeCell ref="C6:C39"/>
    <mergeCell ref="C60:D61"/>
    <mergeCell ref="C131:C135"/>
    <mergeCell ref="C161:C194"/>
    <mergeCell ref="B94:B96"/>
    <mergeCell ref="A2:A3"/>
    <mergeCell ref="D87:D88"/>
    <mergeCell ref="D135:E135"/>
    <mergeCell ref="D139:D159"/>
    <mergeCell ref="D134:E134"/>
    <mergeCell ref="A1:S1"/>
    <mergeCell ref="C139:C159"/>
    <mergeCell ref="D193:E193"/>
    <mergeCell ref="E101:E102"/>
    <mergeCell ref="D40:D55"/>
    <mergeCell ref="B208:M208"/>
    <mergeCell ref="H2:N2"/>
    <mergeCell ref="D169:D170"/>
    <mergeCell ref="D70:D76"/>
    <mergeCell ref="D181:D183"/>
    <mergeCell ref="D138:E138"/>
    <mergeCell ref="B3:C3"/>
    <mergeCell ref="D90:E90"/>
    <mergeCell ref="D131:E131"/>
    <mergeCell ref="D204:D205"/>
    <mergeCell ref="C97:C102"/>
    <mergeCell ref="D123:D127"/>
    <mergeCell ref="D206:E206"/>
    <mergeCell ref="D117:D118"/>
    <mergeCell ref="B97:B160"/>
    <mergeCell ref="D161:E161"/>
    <mergeCell ref="D94:D95"/>
    <mergeCell ref="S2:S3"/>
    <mergeCell ref="D160:F160"/>
    <mergeCell ref="C56:D59"/>
    <mergeCell ref="D97:F97"/>
    <mergeCell ref="D103:D107"/>
    <mergeCell ref="C85:C88"/>
    <mergeCell ref="C70:C76"/>
    <mergeCell ref="D120:E120"/>
    <mergeCell ref="E99:E100"/>
    <mergeCell ref="E186:E187"/>
    <mergeCell ref="D194:E194"/>
    <mergeCell ref="D98:D102"/>
    <mergeCell ref="C77:C83"/>
    <mergeCell ref="T2:T3"/>
    <mergeCell ref="B6:B84"/>
    <mergeCell ref="D171:D172"/>
    <mergeCell ref="C128:C130"/>
    <mergeCell ref="C112:F112"/>
    <mergeCell ref="C196:C207"/>
    <mergeCell ref="D173:D174"/>
    <mergeCell ref="D85:D86"/>
    <mergeCell ref="B161:B207"/>
    <mergeCell ref="E184:E185"/>
    <mergeCell ref="B5:C5"/>
    <mergeCell ref="D91:D93"/>
    <mergeCell ref="D133:E133"/>
    <mergeCell ref="D113:D116"/>
    <mergeCell ref="D77:D83"/>
    <mergeCell ref="D207:E207"/>
    <mergeCell ref="D188:D191"/>
    <mergeCell ref="D199:D200"/>
    <mergeCell ref="C40:C55"/>
    <mergeCell ref="B2:G2"/>
    <mergeCell ref="C123:C127"/>
    <mergeCell ref="D119:E119"/>
    <mergeCell ref="D108:D111"/>
    <mergeCell ref="D166:D167"/>
    <mergeCell ref="C113:C116"/>
    <mergeCell ref="D175:D176"/>
    <mergeCell ref="D136:E136"/>
    <mergeCell ref="C117:C118"/>
    <mergeCell ref="O2:Q2"/>
    <mergeCell ref="D128:D130"/>
    <mergeCell ref="B85:B93"/>
    <mergeCell ref="C119:C120"/>
    <mergeCell ref="C90:C93"/>
    <mergeCell ref="D184:D187"/>
    <mergeCell ref="D6:D39"/>
    <mergeCell ref="D121:D122"/>
    <mergeCell ref="D201:D202"/>
    <mergeCell ref="D137:E137"/>
    <mergeCell ref="C67:D69"/>
    <mergeCell ref="D177:D180"/>
    <mergeCell ref="D192:E192"/>
    <mergeCell ref="C136:C137"/>
    <mergeCell ref="C103:C107"/>
    <mergeCell ref="D132:E132"/>
  </mergeCells>
  <conditionalFormatting sqref="AD1:AF1048576">
    <cfRule type="cellIs" priority="1" operator="equal" dxfId="0">
      <formula>0</formula>
    </cfRule>
  </conditionalFormatting>
  <dataValidations count="13">
    <dataValidation sqref="M97 M108 M117 M136:M137" showDropDown="0" showInputMessage="1" showErrorMessage="1" allowBlank="1" type="list">
      <formula1>"1.0,1.1,1.2,1.3,1.5,1.7,2.0,2.5,3.0"</formula1>
    </dataValidation>
    <dataValidation sqref="F6:F50 F56:F61 F70:F76" showDropDown="0" showInputMessage="1" showErrorMessage="1" allowBlank="1" type="list">
      <formula1>"Ⅰ,Ⅱ,Ⅲ,Ⅳ,Ⅴ,Ⅵ"</formula1>
    </dataValidation>
    <dataValidation sqref="F51:F55 F64:F66 F84:F93 F113:F130 F136:F138" showDropDown="0" showInputMessage="1" showErrorMessage="1" allowBlank="1"/>
    <dataValidation sqref="F62:F63" showDropDown="0" showInputMessage="1" showErrorMessage="1" allowBlank="1" type="list">
      <formula1>"≤30m,＞30m"</formula1>
    </dataValidation>
    <dataValidation sqref="F67:F69 F77:F83" showDropDown="0" showInputMessage="1" showErrorMessage="1" allowBlank="1" type="list">
      <formula1>"Ⅰ,Ⅱ,Ⅲ"</formula1>
    </dataValidation>
    <dataValidation sqref="F94:F96 F131:F135 O89:O93" showDropDown="0" showInputMessage="1" showErrorMessage="1" allowBlank="1" type="list">
      <formula1>"简单,中等,复杂"</formula1>
    </dataValidation>
    <dataValidation sqref="M6:M39" showDropDown="0" showInputMessage="1" showErrorMessage="1" allowBlank="1" type="list">
      <formula1>"1.0,1.1,1.2,1.3,1.5,1.8,2.0"</formula1>
    </dataValidation>
    <dataValidation sqref="M40:M55" showDropDown="0" showInputMessage="1" showErrorMessage="1" allowBlank="1" type="list">
      <formula1>"1.2,1.3,1.5,2.0,2.5,3.0"</formula1>
    </dataValidation>
    <dataValidation sqref="M85:M96 M98:M107 M109:M116 M118:M135 M138:M159" showDropDown="0" showInputMessage="1" showErrorMessage="1" allowBlank="1" type="list">
      <formula1>"1.0,1.1,1.2,1.3,1.5,2.0,2.5,3.0"</formula1>
    </dataValidation>
    <dataValidation sqref="O97:O160" showDropDown="0" showInputMessage="1" showErrorMessage="1" allowBlank="1" type="list">
      <formula1>"甲级,乙级,丙级,物探"</formula1>
    </dataValidation>
    <dataValidation sqref="O161:O207" showDropDown="0" showInputMessage="1" showErrorMessage="1" allowBlank="1" type="list">
      <formula1>"甲级,乙级,丙级,试验"</formula1>
    </dataValidation>
    <dataValidation sqref="M56:M84" showDropDown="0" showInputMessage="1" showErrorMessage="1" allowBlank="1" type="list">
      <formula1>"1.0,1.1,1.2,1.3,1.5,2.0"</formula1>
    </dataValidation>
    <dataValidation sqref="O5:O88" showDropDown="0" showInputMessage="1" showErrorMessage="1" allowBlank="1" type="list">
      <formula1>"甲级,乙级,丙级"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2020-03-06T04:10:00Z</dcterms:created>
  <dcterms:modified xmlns:dcterms="http://purl.org/dc/terms/" xmlns:xsi="http://www.w3.org/2001/XMLSchema-instance" xsi:type="dcterms:W3CDTF">2026-10-30T16:10:58Z</dcterms:modified>
  <cp:lastModifiedBy>萌 石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2052-12.8.2.19313</vt:lpwstr>
  </property>
  <property name="ICV" fmtid="{D5CDD505-2E9C-101B-9397-08002B2CF9AE}" pid="3">
    <vt:lpwstr xmlns:vt="http://schemas.openxmlformats.org/officeDocument/2006/docPropsVTypes">D90FEBA6341958DA7696466841050968_43</vt:lpwstr>
  </property>
</Properties>
</file>