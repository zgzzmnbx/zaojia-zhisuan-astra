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表3-地质测绘" sheetId="1" state="visible" r:id="rId1"/>
  </sheets>
  <definedNames>
    <definedName name="_xlnm._FilterDatabase" localSheetId="0" hidden="1">'表3-地质测绘'!$A$3:$AT$3</definedName>
    <definedName name="_xlnm.Print_Area" localSheetId="0">'表3-地质测绘'!$A$1:$T$13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_ "/>
    <numFmt numFmtId="165" formatCode="0.00_);\(0.00\)"/>
    <numFmt numFmtId="166" formatCode="0.00_ "/>
    <numFmt numFmtId="167" formatCode="0.00_);[Red]\(0.00\)"/>
    <numFmt numFmtId="168" formatCode="0.0_);\(0.0\)"/>
    <numFmt numFmtId="169" formatCode="0_);[Red]\(0\)"/>
    <numFmt numFmtId="170" formatCode="0.0_ "/>
    <numFmt numFmtId="171" formatCode="0.0000_ "/>
    <numFmt numFmtId="172" formatCode="0.000_ "/>
  </numFmts>
  <fonts count="36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9"/>
      <scheme val="minor"/>
    </font>
    <font>
      <name val="仿宋_GB2312"/>
      <charset val="134"/>
      <family val="3"/>
      <b val="1"/>
      <sz val="14"/>
    </font>
    <font>
      <name val="宋体"/>
      <charset val="134"/>
      <family val="3"/>
      <b val="1"/>
      <sz val="10"/>
      <scheme val="minor"/>
    </font>
    <font>
      <name val="宋体"/>
      <charset val="134"/>
      <family val="3"/>
      <sz val="10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宋体"/>
      <charset val="134"/>
      <family val="3"/>
      <color theme="1"/>
      <sz val="10"/>
      <scheme val="minor"/>
    </font>
    <font>
      <name val="Times New Roman"/>
      <family val="1"/>
      <b val="1"/>
      <sz val="14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仿宋_GB2312"/>
      <charset val="134"/>
      <family val="3"/>
      <sz val="10"/>
    </font>
    <font>
      <name val="宋体"/>
      <charset val="134"/>
      <family val="3"/>
      <color rgb="FFFF0000"/>
      <sz val="10"/>
      <scheme val="minor"/>
    </font>
    <font>
      <name val="宋体"/>
      <charset val="134"/>
      <family val="3"/>
      <sz val="10"/>
      <vertAlign val="superscript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4"/>
      <scheme val="major"/>
    </font>
    <font>
      <name val="宋体"/>
      <charset val="134"/>
      <family val="3"/>
      <color theme="1"/>
      <sz val="11"/>
      <scheme val="major"/>
    </font>
    <font>
      <name val="宋体"/>
      <charset val="134"/>
      <family val="3"/>
      <b val="1"/>
      <sz val="10"/>
      <scheme val="major"/>
    </font>
    <font>
      <name val="宋体"/>
      <charset val="134"/>
      <family val="3"/>
      <b val="1"/>
      <color theme="1"/>
      <sz val="11"/>
      <scheme val="major"/>
    </font>
    <font>
      <name val="宋体"/>
      <charset val="134"/>
      <family val="3"/>
      <sz val="10"/>
      <scheme val="major"/>
    </font>
    <font>
      <name val="宋体"/>
      <charset val="134"/>
      <family val="3"/>
      <color theme="1"/>
      <sz val="10"/>
      <scheme val="major"/>
    </font>
    <font>
      <name val="宋体"/>
      <charset val="134"/>
      <family val="3"/>
      <sz val="10"/>
      <vertAlign val="superscript"/>
      <scheme val="major"/>
    </font>
    <font>
      <name val="宋体"/>
      <charset val="134"/>
      <family val="3"/>
      <b val="1"/>
      <color theme="1"/>
      <sz val="10"/>
      <scheme val="major"/>
    </font>
    <font>
      <name val="宋体"/>
      <charset val="134"/>
      <family val="3"/>
      <sz val="11"/>
      <scheme val="major"/>
    </font>
    <font>
      <name val="宋体"/>
      <charset val="134"/>
      <family val="3"/>
      <color rgb="FF000000"/>
      <sz val="10"/>
      <scheme val="major"/>
    </font>
    <font>
      <name val="宋体"/>
      <charset val="134"/>
      <family val="3"/>
      <b val="1"/>
      <color theme="1"/>
      <sz val="9"/>
      <scheme val="minor"/>
    </font>
    <font>
      <name val="宋体"/>
      <charset val="134"/>
      <family val="3"/>
      <b val="1"/>
      <color rgb="FF00B050"/>
      <sz val="10"/>
      <scheme val="major"/>
    </font>
    <font>
      <name val="宋体"/>
      <charset val="134"/>
      <family val="3"/>
      <color rgb="FF00B050"/>
      <sz val="10"/>
      <scheme val="maj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rgb="FF00B050"/>
      <sz val="10"/>
      <scheme val="minor"/>
    </font>
    <font>
      <name val="宋体"/>
      <charset val="134"/>
      <family val="3"/>
      <b val="1"/>
      <color rgb="FFC00000"/>
      <sz val="10"/>
      <scheme val="major"/>
    </font>
    <font>
      <name val="宋体"/>
      <charset val="134"/>
      <family val="3"/>
      <b val="1"/>
      <color theme="4" tint="0.3999755851924192"/>
      <sz val="10"/>
      <scheme val="major"/>
    </font>
    <font>
      <name val="宋体"/>
      <charset val="134"/>
      <family val="3"/>
      <b val="1"/>
      <color rgb="FFC00000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3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7" fontId="4" fillId="2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8" fontId="4" fillId="0" borderId="5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right" vertical="center" wrapText="1"/>
    </xf>
    <xf numFmtId="166" fontId="4" fillId="0" borderId="5" applyAlignment="1" pivotButton="0" quotePrefix="0" xfId="0">
      <alignment horizontal="center" vertical="center" wrapText="1"/>
    </xf>
    <xf numFmtId="164" fontId="7" fillId="0" borderId="5" applyAlignment="1" pivotButton="0" quotePrefix="0" xfId="0">
      <alignment horizontal="right" vertical="center"/>
    </xf>
    <xf numFmtId="166" fontId="7" fillId="0" borderId="5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6" fontId="4" fillId="0" borderId="5" applyAlignment="1" pivotButton="0" quotePrefix="0" xfId="0">
      <alignment horizontal="right" vertical="center" wrapText="1"/>
    </xf>
    <xf numFmtId="169" fontId="4" fillId="0" borderId="1" applyAlignment="1" pivotButton="0" quotePrefix="0" xfId="0">
      <alignment horizontal="right" vertical="center" wrapText="1"/>
    </xf>
    <xf numFmtId="0" fontId="7" fillId="0" borderId="5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7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/>
    </xf>
    <xf numFmtId="167" fontId="9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vertical="center" wrapText="1"/>
    </xf>
    <xf numFmtId="170" fontId="3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/>
    </xf>
    <xf numFmtId="17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/>
    </xf>
    <xf numFmtId="166" fontId="4" fillId="0" borderId="1" applyAlignment="1" pivotButton="0" quotePrefix="0" xfId="0">
      <alignment vertical="center" wrapText="1"/>
    </xf>
    <xf numFmtId="171" fontId="4" fillId="0" borderId="1" applyAlignment="1" pivotButton="0" quotePrefix="0" xfId="0">
      <alignment vertical="center" wrapText="1"/>
    </xf>
    <xf numFmtId="166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9" fontId="7" fillId="0" borderId="1" applyAlignment="1" pivotButton="0" quotePrefix="0" xfId="0">
      <alignment vertical="center"/>
    </xf>
    <xf numFmtId="171" fontId="7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49" fontId="20" fillId="6" borderId="1" applyAlignment="1" pivotButton="0" quotePrefix="0" xfId="0">
      <alignment horizontal="center" vertical="center" wrapText="1"/>
    </xf>
    <xf numFmtId="167" fontId="20" fillId="6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9" fontId="22" fillId="0" borderId="1" applyAlignment="1" pivotButton="0" quotePrefix="0" xfId="0">
      <alignment horizontal="center" vertical="center" wrapText="1"/>
    </xf>
    <xf numFmtId="169" fontId="2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6" fontId="22" fillId="0" borderId="1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67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 wrapText="1"/>
    </xf>
    <xf numFmtId="49" fontId="2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167" fontId="23" fillId="0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3" fillId="0" borderId="1" applyAlignment="1" pivotButton="0" quotePrefix="0" xfId="0">
      <alignment vertical="center" wrapText="1"/>
    </xf>
    <xf numFmtId="0" fontId="23" fillId="0" borderId="1" applyAlignment="1" pivotButton="0" quotePrefix="0" xfId="0">
      <alignment vertical="center" wrapText="1" shrinkToFit="1"/>
    </xf>
    <xf numFmtId="0" fontId="23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165" fontId="32" fillId="0" borderId="13" applyAlignment="1" pivotButton="0" quotePrefix="0" xfId="0">
      <alignment horizontal="left" vertical="center"/>
    </xf>
    <xf numFmtId="0" fontId="29" fillId="4" borderId="14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left" vertical="center" wrapText="1"/>
    </xf>
    <xf numFmtId="0" fontId="23" fillId="0" borderId="14" applyAlignment="1" pivotButton="0" quotePrefix="0" xfId="0">
      <alignment horizontal="left" vertical="center" wrapText="1"/>
    </xf>
    <xf numFmtId="165" fontId="32" fillId="0" borderId="14" applyAlignment="1" pivotButton="0" quotePrefix="0" xfId="0">
      <alignment horizontal="left" vertical="center" wrapText="1"/>
    </xf>
    <xf numFmtId="0" fontId="31" fillId="0" borderId="14" applyAlignment="1" pivotButton="0" quotePrefix="0" xfId="0">
      <alignment horizontal="left" vertical="center" wrapText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vertical="center" wrapText="1" shrinkToFit="1"/>
    </xf>
    <xf numFmtId="0" fontId="22" fillId="0" borderId="14" applyAlignment="1" pivotButton="0" quotePrefix="0" xfId="0">
      <alignment horizontal="center" vertical="center" wrapText="1"/>
    </xf>
    <xf numFmtId="167" fontId="22" fillId="0" borderId="14" applyAlignment="1" pivotButton="0" quotePrefix="0" xfId="0">
      <alignment horizontal="center" vertical="center" wrapText="1"/>
    </xf>
    <xf numFmtId="0" fontId="23" fillId="0" borderId="14" applyAlignment="1" pivotButton="0" quotePrefix="0" xfId="0">
      <alignment horizontal="center" vertical="center"/>
    </xf>
    <xf numFmtId="164" fontId="23" fillId="0" borderId="14" applyAlignment="1" pivotButton="0" quotePrefix="0" xfId="0">
      <alignment horizontal="center" vertical="center" wrapText="1"/>
    </xf>
    <xf numFmtId="167" fontId="4" fillId="0" borderId="14" applyAlignment="1" pivotButton="0" quotePrefix="0" xfId="0">
      <alignment horizontal="center" vertical="center" wrapText="1"/>
    </xf>
    <xf numFmtId="167" fontId="29" fillId="0" borderId="14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center" vertical="center" wrapText="1"/>
    </xf>
    <xf numFmtId="0" fontId="29" fillId="4" borderId="15" applyAlignment="1" pivotButton="0" quotePrefix="0" xfId="0">
      <alignment horizontal="left" vertical="center" wrapText="1"/>
    </xf>
    <xf numFmtId="0" fontId="34" fillId="6" borderId="14" applyAlignment="1" pivotButton="0" quotePrefix="0" xfId="0">
      <alignment horizontal="center" vertical="center" wrapText="1"/>
    </xf>
    <xf numFmtId="0" fontId="20" fillId="6" borderId="14" applyAlignment="1" pivotButton="0" quotePrefix="0" xfId="0">
      <alignment horizontal="center" vertical="center" wrapText="1"/>
    </xf>
    <xf numFmtId="0" fontId="14" fillId="6" borderId="14" applyAlignment="1" pivotButton="0" quotePrefix="0" xfId="0">
      <alignment horizontal="center" vertical="center" wrapText="1"/>
    </xf>
    <xf numFmtId="0" fontId="14" fillId="8" borderId="14" applyAlignment="1" pivotButton="0" quotePrefix="0" xfId="0">
      <alignment horizontal="center" vertical="center" wrapText="1"/>
    </xf>
    <xf numFmtId="164" fontId="7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17" fillId="6" borderId="14" applyAlignment="1" pivotButton="0" quotePrefix="0" xfId="0">
      <alignment horizontal="center" vertical="center" wrapText="1"/>
    </xf>
    <xf numFmtId="167" fontId="32" fillId="0" borderId="14" applyAlignment="1" pivotButton="0" quotePrefix="0" xfId="0">
      <alignment horizontal="left" vertical="center" wrapText="1"/>
    </xf>
    <xf numFmtId="167" fontId="4" fillId="0" borderId="14" applyAlignment="1" pivotButton="0" quotePrefix="0" xfId="0">
      <alignment horizontal="left" vertical="center" wrapText="1"/>
    </xf>
    <xf numFmtId="0" fontId="23" fillId="0" borderId="14" applyAlignment="1" pivotButton="0" quotePrefix="0" xfId="0">
      <alignment horizontal="center" vertical="center" wrapText="1"/>
    </xf>
    <xf numFmtId="0" fontId="25" fillId="6" borderId="14" applyAlignment="1" pivotButton="0" quotePrefix="0" xfId="0">
      <alignment horizontal="center" vertical="center" wrapText="1"/>
    </xf>
    <xf numFmtId="172" fontId="23" fillId="0" borderId="14" applyAlignment="1" pivotButton="0" quotePrefix="0" xfId="0">
      <alignment horizontal="center" vertical="center" wrapText="1"/>
    </xf>
    <xf numFmtId="167" fontId="22" fillId="0" borderId="1" applyAlignment="1" pivotButton="0" quotePrefix="0" xfId="0">
      <alignment horizontal="center" vertical="center" wrapText="1"/>
    </xf>
    <xf numFmtId="49" fontId="22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25" fillId="9" borderId="14" applyAlignment="1" pivotButton="0" quotePrefix="0" xfId="0">
      <alignment horizontal="center" vertical="center" wrapText="1"/>
    </xf>
    <xf numFmtId="0" fontId="25" fillId="10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5" fillId="10" borderId="14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14" fillId="0" borderId="5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7" fontId="4" fillId="0" borderId="4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164" fontId="4" fillId="0" borderId="4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2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18" fillId="0" borderId="1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9" fontId="25" fillId="0" borderId="5" applyAlignment="1" pivotButton="0" quotePrefix="0" xfId="0">
      <alignment horizontal="center" vertical="center"/>
    </xf>
    <xf numFmtId="167" fontId="25" fillId="0" borderId="5" applyAlignment="1" pivotButton="0" quotePrefix="0" xfId="0">
      <alignment horizontal="center" vertical="center"/>
    </xf>
    <xf numFmtId="0" fontId="25" fillId="0" borderId="1" applyAlignment="1" pivotButton="0" quotePrefix="0" xfId="0">
      <alignment vertical="center" wrapText="1"/>
    </xf>
    <xf numFmtId="0" fontId="25" fillId="0" borderId="8" applyAlignment="1" pivotButton="0" quotePrefix="0" xfId="0">
      <alignment vertical="center" wrapText="1"/>
    </xf>
    <xf numFmtId="0" fontId="25" fillId="0" borderId="14" applyAlignment="1" pivotButton="0" quotePrefix="0" xfId="0">
      <alignment vertical="center" wrapText="1"/>
    </xf>
    <xf numFmtId="0" fontId="25" fillId="0" borderId="14" applyAlignment="1" pivotButton="0" quotePrefix="0" xfId="0">
      <alignment horizontal="left" vertical="center" wrapText="1"/>
    </xf>
    <xf numFmtId="167" fontId="25" fillId="0" borderId="14" applyAlignment="1" pivotButton="0" quotePrefix="0" xfId="0">
      <alignment horizontal="center" vertical="center"/>
    </xf>
    <xf numFmtId="164" fontId="14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164" fontId="14" fillId="0" borderId="5" applyAlignment="1" pivotButton="0" quotePrefix="0" xfId="0">
      <alignment horizontal="right" vertical="center"/>
    </xf>
    <xf numFmtId="0" fontId="14" fillId="0" borderId="5" applyAlignment="1" pivotButton="0" quotePrefix="0" xfId="0">
      <alignment horizontal="center" vertical="center"/>
    </xf>
    <xf numFmtId="166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167" fontId="20" fillId="0" borderId="14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4" fillId="0" borderId="9" applyAlignment="1" pivotButton="0" quotePrefix="0" xfId="0">
      <alignment vertical="center"/>
    </xf>
    <xf numFmtId="164" fontId="14" fillId="0" borderId="7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64" fontId="25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textRotation="255" wrapText="1"/>
    </xf>
    <xf numFmtId="0" fontId="5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4" fontId="14" fillId="0" borderId="9" applyAlignment="1" pivotButton="0" quotePrefix="0" xfId="0">
      <alignment horizontal="center" vertical="center"/>
    </xf>
    <xf numFmtId="164" fontId="14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49" fontId="8" fillId="4" borderId="3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165" fontId="8" fillId="5" borderId="3" applyAlignment="1" pivotButton="0" quotePrefix="0" xfId="0">
      <alignment horizontal="center" vertical="center"/>
    </xf>
    <xf numFmtId="166" fontId="8" fillId="0" borderId="3" applyAlignment="1" pivotButton="0" quotePrefix="0" xfId="0">
      <alignment horizontal="right" vertical="center"/>
    </xf>
    <xf numFmtId="166" fontId="8" fillId="5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right" vertical="center"/>
    </xf>
    <xf numFmtId="0" fontId="8" fillId="2" borderId="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8" fillId="0" borderId="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/>
    </xf>
    <xf numFmtId="49" fontId="8" fillId="0" borderId="5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170" fontId="8" fillId="0" borderId="5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170" fontId="3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/>
    </xf>
    <xf numFmtId="0" fontId="25" fillId="0" borderId="7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49" fontId="8" fillId="0" borderId="3" applyAlignment="1" pivotButton="0" quotePrefix="0" xfId="0">
      <alignment horizontal="center"/>
    </xf>
    <xf numFmtId="164" fontId="8" fillId="0" borderId="3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165" fontId="8" fillId="0" borderId="3" applyAlignment="1" pivotButton="0" quotePrefix="0" xfId="0">
      <alignment horizontal="center"/>
    </xf>
    <xf numFmtId="166" fontId="8" fillId="0" borderId="3" applyAlignment="1" pivotButton="0" quotePrefix="0" xfId="0">
      <alignment horizontal="right"/>
    </xf>
    <xf numFmtId="166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right"/>
    </xf>
    <xf numFmtId="0" fontId="8" fillId="0" borderId="8" applyAlignment="1" pivotButton="0" quotePrefix="0" xfId="0">
      <alignment horizontal="center"/>
    </xf>
    <xf numFmtId="0" fontId="5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center" vertical="center"/>
    </xf>
    <xf numFmtId="167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7" pivotButton="0" quotePrefix="0" xfId="0"/>
    <xf numFmtId="164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 wrapText="1"/>
    </xf>
    <xf numFmtId="166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 wrapText="1"/>
    </xf>
    <xf numFmtId="167" fontId="9" fillId="0" borderId="1" applyAlignment="1" pivotButton="0" quotePrefix="0" xfId="0">
      <alignment horizontal="center" vertical="center" wrapText="1"/>
    </xf>
    <xf numFmtId="167" fontId="32" fillId="0" borderId="14" applyAlignment="1" pivotButton="0" quotePrefix="0" xfId="0">
      <alignment horizontal="left" vertical="center" wrapText="1"/>
    </xf>
    <xf numFmtId="167" fontId="22" fillId="0" borderId="14" applyAlignment="1" pivotButton="0" quotePrefix="0" xfId="0">
      <alignment horizontal="center" vertical="center" wrapText="1"/>
    </xf>
    <xf numFmtId="164" fontId="7" fillId="0" borderId="14" applyAlignment="1" pivotButton="0" quotePrefix="0" xfId="0">
      <alignment horizontal="center" vertical="center" wrapText="1"/>
    </xf>
    <xf numFmtId="167" fontId="4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164" fontId="4" fillId="0" borderId="1" applyAlignment="1" pivotButton="0" quotePrefix="0" xfId="0">
      <alignment horizontal="right" vertical="center" wrapText="1"/>
    </xf>
    <xf numFmtId="167" fontId="4" fillId="0" borderId="14" applyAlignment="1" pivotButton="0" quotePrefix="0" xfId="0">
      <alignment horizontal="left" vertical="center" wrapText="1"/>
    </xf>
    <xf numFmtId="164" fontId="4" fillId="0" borderId="4" applyAlignment="1" pivotButton="0" quotePrefix="0" xfId="0">
      <alignment horizontal="center" vertical="center" wrapText="1"/>
    </xf>
    <xf numFmtId="167" fontId="4" fillId="0" borderId="4" applyAlignment="1" pivotButton="0" quotePrefix="0" xfId="0">
      <alignment horizontal="center" vertical="center" wrapText="1"/>
    </xf>
    <xf numFmtId="164" fontId="14" fillId="0" borderId="5" applyAlignment="1" pivotButton="0" quotePrefix="0" xfId="0">
      <alignment horizontal="right" vertical="center"/>
    </xf>
    <xf numFmtId="166" fontId="14" fillId="0" borderId="5" applyAlignment="1" pivotButton="0" quotePrefix="0" xfId="0">
      <alignment horizontal="center" vertical="center"/>
    </xf>
    <xf numFmtId="167" fontId="20" fillId="0" borderId="14" applyAlignment="1" pivotButton="0" quotePrefix="0" xfId="0">
      <alignment horizontal="center" vertical="center" wrapText="1"/>
    </xf>
    <xf numFmtId="164" fontId="14" fillId="0" borderId="14" applyAlignment="1" pivotButton="0" quotePrefix="0" xfId="0">
      <alignment horizontal="center" vertical="center" wrapText="1"/>
    </xf>
    <xf numFmtId="167" fontId="23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wrapText="1"/>
    </xf>
    <xf numFmtId="165" fontId="32" fillId="0" borderId="13" applyAlignment="1" pivotButton="0" quotePrefix="0" xfId="0">
      <alignment horizontal="left" vertical="center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tabColor theme="9" tint="0.5999938962981048"/>
    <outlinePr summaryBelow="0" summaryRight="0"/>
    <pageSetUpPr/>
  </sheetPr>
  <dimension ref="A1:AT209"/>
  <sheetViews>
    <sheetView zoomScale="85" zoomScaleNormal="85" workbookViewId="0">
      <pane xSplit="7" ySplit="3" topLeftCell="H4" activePane="bottomRight" state="frozen"/>
      <selection activeCell="A1" sqref="A1:R1"/>
      <selection pane="topRight" activeCell="A1" sqref="A1:R1"/>
      <selection pane="bottomLeft" activeCell="A1" sqref="A1:R1"/>
      <selection pane="bottomRight" activeCell="O17" sqref="O17"/>
    </sheetView>
  </sheetViews>
  <sheetFormatPr baseColWidth="8" defaultColWidth="9.88671875" defaultRowHeight="22.5" customHeight="1" outlineLevelRow="1"/>
  <cols>
    <col width="9.88671875" customWidth="1" style="2" min="1" max="1"/>
    <col width="9.88671875" customWidth="1" style="92" min="2" max="2"/>
    <col width="9.88671875" customWidth="1" style="2" min="3" max="4"/>
    <col width="9.88671875" customWidth="1" style="3" min="5" max="5"/>
    <col width="9.88671875" customWidth="1" style="2" min="6" max="7"/>
    <col width="9.88671875" customWidth="1" style="296" min="8" max="8"/>
    <col collapsed="1" width="9.88671875" customWidth="1" style="2" min="9" max="9"/>
    <col hidden="1" outlineLevel="1" width="9.88671875" customWidth="1" style="2" min="10" max="11"/>
    <col hidden="1" outlineLevel="1" collapsed="1" width="9.88671875" customWidth="1" style="2" min="12" max="12"/>
    <col collapsed="1" width="9.88671875" customWidth="1" style="297" min="13" max="13"/>
    <col hidden="1" outlineLevel="1" width="9.88671875" customWidth="1" style="298" min="14" max="14"/>
    <col width="9.88671875" customWidth="1" style="2" min="15" max="15"/>
    <col collapsed="1" width="9.88671875" customWidth="1" style="299" min="16" max="16"/>
    <col hidden="1" outlineLevel="1" width="9.88671875" customWidth="1" style="9" min="17" max="17"/>
    <col width="9.88671875" customWidth="1" style="9" min="18" max="18"/>
    <col width="9.88671875" customWidth="1" style="2" min="19" max="20"/>
    <col width="9.88671875" customWidth="1" style="104" min="21" max="21"/>
    <col collapsed="1" width="9.88671875" customWidth="1" style="1" min="22" max="22"/>
    <col hidden="1" outlineLevel="2" width="9.88671875" customWidth="1" style="152" min="23" max="23"/>
    <col hidden="1" outlineLevel="1" collapsed="1" width="9.88671875" customWidth="1" style="65" min="24" max="24"/>
    <col hidden="1" outlineLevel="2" style="105" min="25" max="25"/>
    <col hidden="1" outlineLevel="1" collapsed="1" width="9.88671875" customWidth="1" style="65" min="26" max="26"/>
    <col hidden="1" outlineLevel="2" style="105" min="27" max="27"/>
    <col hidden="1" outlineLevel="1" collapsed="1" width="9.88671875" customWidth="1" style="300" min="28" max="28"/>
    <col hidden="1" outlineLevel="2" style="105" min="29" max="29"/>
    <col hidden="1" outlineLevel="1" collapsed="1" width="9.88671875" customWidth="1" style="95" min="30" max="30"/>
    <col hidden="1" outlineLevel="2" style="95" min="31" max="32"/>
    <col hidden="1" outlineLevel="2" style="98" min="33" max="35"/>
    <col hidden="1" outlineLevel="1" collapsed="1" width="9.88671875" customWidth="1" style="98" min="36" max="36"/>
    <col hidden="1" outlineLevel="2" style="98" min="37" max="37"/>
    <col hidden="1" outlineLevel="2" style="95" min="38" max="41"/>
    <col hidden="1" outlineLevel="1" width="9.88671875" customWidth="1" style="1" min="42" max="42"/>
    <col hidden="1" outlineLevel="2" width="9.88671875" customWidth="1" style="1" min="43" max="46"/>
    <col hidden="1" outlineLevel="1" width="9.88671875" customWidth="1" style="1" min="47" max="47"/>
    <col width="9.88671875" customWidth="1" style="1" min="48" max="16384"/>
  </cols>
  <sheetData>
    <row r="1" ht="36" customHeight="1" s="301">
      <c r="A1" s="278" t="inlineStr">
        <is>
          <t>附表3油气长输管道通用工程地质测绘费用测算表</t>
        </is>
      </c>
      <c r="S1" s="302" t="n"/>
      <c r="T1" s="45" t="n"/>
      <c r="U1" s="93" t="n"/>
      <c r="X1" s="93" t="n"/>
      <c r="Z1" s="105" t="n"/>
      <c r="AB1" s="105" t="n"/>
      <c r="AG1" s="107" t="n"/>
      <c r="AH1" s="107" t="n"/>
      <c r="AI1" s="107" t="n"/>
      <c r="AJ1" s="107" t="n"/>
      <c r="AK1" s="107" t="n"/>
    </row>
    <row r="2" ht="22.5" customHeight="1" s="301">
      <c r="A2" s="209" t="inlineStr">
        <is>
          <t>ID</t>
        </is>
      </c>
      <c r="B2" s="243" t="inlineStr">
        <is>
          <t>工作任务</t>
        </is>
      </c>
      <c r="C2" s="303" t="n"/>
      <c r="D2" s="303" t="n"/>
      <c r="E2" s="303" t="n"/>
      <c r="F2" s="303" t="n"/>
      <c r="G2" s="304" t="n"/>
      <c r="H2" s="305" t="inlineStr">
        <is>
          <t>实物工作费（元）</t>
        </is>
      </c>
      <c r="I2" s="303" t="n"/>
      <c r="J2" s="303" t="n"/>
      <c r="K2" s="303" t="n"/>
      <c r="L2" s="303" t="n"/>
      <c r="M2" s="303" t="n"/>
      <c r="N2" s="304" t="n"/>
      <c r="O2" s="209" t="inlineStr">
        <is>
          <t>技术工作费（元）</t>
        </is>
      </c>
      <c r="P2" s="303" t="n"/>
      <c r="Q2" s="304" t="n"/>
      <c r="R2" s="306" t="inlineStr">
        <is>
          <t>金额合计</t>
        </is>
      </c>
      <c r="S2" s="209" t="inlineStr">
        <is>
          <t>收费标准里对应条款</t>
        </is>
      </c>
      <c r="T2" s="209" t="inlineStr">
        <is>
          <t>备注</t>
        </is>
      </c>
      <c r="U2" s="94" t="n"/>
      <c r="V2" s="151" t="n"/>
      <c r="W2" s="153" t="n"/>
      <c r="X2" s="109" t="n"/>
      <c r="Y2" s="109" t="n"/>
      <c r="Z2" s="109" t="n"/>
      <c r="AA2" s="109" t="n"/>
      <c r="AB2" s="109" t="n"/>
      <c r="AC2" s="109" t="n"/>
      <c r="AD2" s="127" t="n"/>
      <c r="AE2" s="131" t="n"/>
      <c r="AF2" s="131" t="n"/>
      <c r="AG2" s="132" t="n"/>
      <c r="AH2" s="132" t="n"/>
      <c r="AI2" s="132" t="n"/>
      <c r="AJ2" s="129" t="n"/>
      <c r="AK2" s="132" t="n"/>
      <c r="AL2" s="133" t="n"/>
      <c r="AM2" s="133" t="n"/>
      <c r="AN2" s="133" t="n"/>
      <c r="AO2" s="133" t="n"/>
      <c r="AP2" s="150" t="n"/>
      <c r="AQ2" s="137" t="n"/>
      <c r="AR2" s="137" t="n"/>
      <c r="AS2" s="137" t="n"/>
      <c r="AT2" s="137" t="n"/>
    </row>
    <row r="3" ht="33" customHeight="1" s="301">
      <c r="A3" s="307" t="n"/>
      <c r="B3" s="209" t="inlineStr">
        <is>
          <t>项目</t>
        </is>
      </c>
      <c r="C3" s="304" t="n"/>
      <c r="D3" s="209" t="inlineStr">
        <is>
          <t>内容</t>
        </is>
      </c>
      <c r="E3" s="16" t="inlineStr">
        <is>
          <t>类别</t>
        </is>
      </c>
      <c r="F3" s="209" t="inlineStr">
        <is>
          <t>级别</t>
        </is>
      </c>
      <c r="G3" s="209" t="inlineStr">
        <is>
          <t>单位</t>
        </is>
      </c>
      <c r="H3" s="308" t="inlineStr">
        <is>
          <t>基价（元）</t>
        </is>
      </c>
      <c r="I3" s="175" t="inlineStr">
        <is>
          <t>工程量合计</t>
        </is>
      </c>
      <c r="J3" s="209" t="inlineStr">
        <is>
          <t>空</t>
        </is>
      </c>
      <c r="K3" s="209" t="inlineStr">
        <is>
          <t>空</t>
        </is>
      </c>
      <c r="L3" s="209" t="inlineStr">
        <is>
          <t>取费系数说明</t>
        </is>
      </c>
      <c r="M3" s="309" t="inlineStr">
        <is>
          <t>实物工作费调整系数</t>
        </is>
      </c>
      <c r="N3" s="310" t="inlineStr">
        <is>
          <t>小计</t>
        </is>
      </c>
      <c r="O3" s="209" t="inlineStr">
        <is>
          <t>类别</t>
        </is>
      </c>
      <c r="P3" s="311" t="inlineStr">
        <is>
          <t>技术工作费调整系数</t>
        </is>
      </c>
      <c r="Q3" s="209" t="inlineStr">
        <is>
          <t>小计</t>
        </is>
      </c>
      <c r="R3" s="306" t="inlineStr">
        <is>
          <t>（元）</t>
        </is>
      </c>
      <c r="S3" s="307" t="n"/>
      <c r="T3" s="307" t="n"/>
      <c r="U3" s="94" t="n">
        <v>0</v>
      </c>
      <c r="V3" s="151" t="inlineStr">
        <is>
          <t>预警信息</t>
        </is>
      </c>
      <c r="W3" s="153" t="inlineStr">
        <is>
          <t>预警细节</t>
        </is>
      </c>
      <c r="X3" s="109" t="inlineStr">
        <is>
          <t>【经验数】单价</t>
        </is>
      </c>
      <c r="Y3" s="109" t="inlineStr">
        <is>
          <t>【DWB批注】价格or总体</t>
        </is>
      </c>
      <c r="Z3" s="109" t="inlineStr">
        <is>
          <t>【经验数】实物工作费调整系数</t>
        </is>
      </c>
      <c r="AA3" s="109" t="inlineStr">
        <is>
          <t>【DWB批注】-实物工作费调整系数</t>
        </is>
      </c>
      <c r="AB3" s="109" t="inlineStr">
        <is>
          <t>【经验数】技术工作费调整系数</t>
        </is>
      </c>
      <c r="AC3" s="109" t="inlineStr">
        <is>
          <t>【DWB批注】-技术工作费调整系数</t>
        </is>
      </c>
      <c r="AD3" s="127" t="inlineStr">
        <is>
          <t>差值校验</t>
        </is>
      </c>
      <c r="AE3" s="131" t="n"/>
      <c r="AF3" s="131" t="n"/>
      <c r="AG3" s="132" t="n"/>
      <c r="AH3" s="132" t="n"/>
      <c r="AI3" s="132" t="n"/>
      <c r="AJ3" s="129" t="inlineStr">
        <is>
          <t>匹配报告预留位置</t>
        </is>
      </c>
      <c r="AK3" s="132" t="n"/>
      <c r="AL3" s="133" t="n"/>
      <c r="AM3" s="133" t="n"/>
      <c r="AN3" s="133" t="n"/>
      <c r="AO3" s="133" t="n"/>
      <c r="AP3" s="150" t="inlineStr">
        <is>
          <t>委托方信息抓取</t>
        </is>
      </c>
      <c r="AQ3" s="150" t="n"/>
      <c r="AR3" s="150" t="n"/>
      <c r="AS3" s="150" t="n"/>
      <c r="AT3" s="150" t="n"/>
    </row>
    <row r="4" outlineLevel="1" ht="33" customHeight="1" s="301">
      <c r="A4" s="64" t="inlineStr">
        <is>
          <t>映射行</t>
        </is>
      </c>
      <c r="B4" s="64" t="inlineStr">
        <is>
          <t>要素1</t>
        </is>
      </c>
      <c r="C4" s="64" t="inlineStr">
        <is>
          <t>要素2</t>
        </is>
      </c>
      <c r="D4" s="64" t="inlineStr">
        <is>
          <t>要素3</t>
        </is>
      </c>
      <c r="E4" s="64" t="inlineStr">
        <is>
          <t>要素4</t>
        </is>
      </c>
      <c r="F4" s="64" t="inlineStr">
        <is>
          <t>要素5</t>
        </is>
      </c>
      <c r="G4" s="64" t="inlineStr">
        <is>
          <t>单位</t>
        </is>
      </c>
      <c r="H4" s="69" t="inlineStr">
        <is>
          <t>单价匹配-测试</t>
        </is>
      </c>
      <c r="I4" s="64" t="inlineStr">
        <is>
          <t>数量</t>
        </is>
      </c>
      <c r="J4" s="64" t="n"/>
      <c r="K4" s="64" t="n"/>
      <c r="L4" s="64" t="n"/>
      <c r="M4" s="69" t="inlineStr">
        <is>
          <t>实物工作费调整系数-测试</t>
        </is>
      </c>
      <c r="N4" s="64" t="n"/>
      <c r="O4" s="64" t="inlineStr">
        <is>
          <t>要素-技术</t>
        </is>
      </c>
      <c r="P4" s="69" t="inlineStr">
        <is>
          <t>技术工作费调整系数-测试</t>
        </is>
      </c>
      <c r="Q4" s="64" t="n"/>
      <c r="R4" s="64" t="n"/>
      <c r="S4" s="64" t="n"/>
      <c r="T4" s="64" t="n"/>
      <c r="U4" s="124" t="n"/>
      <c r="V4" s="151" t="inlineStr">
        <is>
          <t>预警参数</t>
        </is>
      </c>
      <c r="W4" s="153" t="inlineStr">
        <is>
          <t>预警细节</t>
        </is>
      </c>
      <c r="X4" s="126" t="inlineStr">
        <is>
          <t>(不要被管勘智算脚本识别)</t>
        </is>
      </c>
      <c r="Y4" s="126" t="inlineStr">
        <is>
          <t>(不要被管勘智算脚本识别)</t>
        </is>
      </c>
      <c r="Z4" s="126" t="inlineStr">
        <is>
          <t>(不要被管勘智算脚本识别)</t>
        </is>
      </c>
      <c r="AA4" s="126" t="inlineStr">
        <is>
          <t>(不要被管勘智算脚本识别)</t>
        </is>
      </c>
      <c r="AB4" s="126" t="inlineStr">
        <is>
          <t>(不要被管勘智算脚本识别)</t>
        </is>
      </c>
      <c r="AC4" s="126" t="inlineStr">
        <is>
          <t>(不要被管勘智算脚本识别)</t>
        </is>
      </c>
      <c r="AD4" s="127" t="inlineStr">
        <is>
          <t>差值校验</t>
        </is>
      </c>
      <c r="AE4" s="127" t="inlineStr">
        <is>
          <t>差值校验</t>
        </is>
      </c>
      <c r="AF4" s="127" t="inlineStr">
        <is>
          <t>差值校验</t>
        </is>
      </c>
      <c r="AG4" s="134" t="inlineStr">
        <is>
          <t>单价111匹配-测试</t>
        </is>
      </c>
      <c r="AH4" s="134" t="inlineStr">
        <is>
          <t>实物111工作费调整系数-测试</t>
        </is>
      </c>
      <c r="AI4" s="134" t="inlineStr">
        <is>
          <t>技术111工作费调整系数-测试</t>
        </is>
      </c>
      <c r="AJ4" s="129" t="inlineStr">
        <is>
          <t>匹配报告预留位置</t>
        </is>
      </c>
      <c r="AK4" s="129" t="inlineStr">
        <is>
          <t>匹配状态</t>
        </is>
      </c>
      <c r="AL4" s="129" t="inlineStr">
        <is>
          <t>候选数量</t>
        </is>
      </c>
      <c r="AM4" s="129" t="inlineStr">
        <is>
          <t>匹配说明</t>
        </is>
      </c>
      <c r="AN4" s="129" t="inlineStr">
        <is>
          <t>匹配说明-实物工作费调整系数</t>
        </is>
      </c>
      <c r="AO4" s="129" t="inlineStr">
        <is>
          <t>匹配说明-技术工作费调整系数</t>
        </is>
      </c>
      <c r="AP4" s="150" t="inlineStr">
        <is>
          <t>数量(信息抓取)</t>
        </is>
      </c>
      <c r="AQ4" s="150" t="inlineStr">
        <is>
          <t>实物工作费调整系数(信息抓取)</t>
        </is>
      </c>
      <c r="AR4" s="150" t="inlineStr">
        <is>
          <t>实物工作费调整系数(信息抓取)</t>
        </is>
      </c>
      <c r="AS4" s="150" t="inlineStr">
        <is>
          <t>委托方备注(信息抓取)</t>
        </is>
      </c>
      <c r="AT4" s="150" t="inlineStr">
        <is>
          <t>抓取日志</t>
        </is>
      </c>
    </row>
    <row r="5" ht="144" customHeight="1" s="301">
      <c r="A5" s="223" t="n">
        <v>1</v>
      </c>
      <c r="B5" s="205" t="inlineStr">
        <is>
          <t>岩土工程勘察</t>
        </is>
      </c>
      <c r="C5" s="276" t="inlineStr">
        <is>
          <t>地质测绘</t>
        </is>
      </c>
      <c r="D5" s="276" t="inlineStr">
        <is>
          <t>成图比例</t>
        </is>
      </c>
      <c r="E5" s="43" t="inlineStr">
        <is>
          <t>1:500</t>
        </is>
      </c>
      <c r="F5" s="208" t="inlineStr">
        <is>
          <t>中等</t>
        </is>
      </c>
      <c r="G5" s="208" t="inlineStr">
        <is>
          <t>km2</t>
        </is>
      </c>
      <c r="H5" s="312" t="n"/>
      <c r="I5" s="313" t="n"/>
      <c r="J5" s="313" t="n"/>
      <c r="K5" s="313" t="n"/>
      <c r="L5" s="313" t="n"/>
      <c r="M5" s="314" t="n"/>
      <c r="N5" s="315">
        <f>H5*I5*M5</f>
        <v/>
      </c>
      <c r="O5" s="208" t="inlineStr">
        <is>
          <t>甲级</t>
        </is>
      </c>
      <c r="P5" s="316" t="n"/>
      <c r="Q5" s="317">
        <f>N5*P5</f>
        <v/>
      </c>
      <c r="R5" s="317">
        <f>N5+Q5</f>
        <v/>
      </c>
      <c r="S5" s="318" t="inlineStr">
        <is>
          <t>表3.2-1、表3.2-2</t>
        </is>
      </c>
      <c r="T5" s="318" t="n"/>
      <c r="U5" s="114" t="n"/>
      <c r="X5" s="116">
        <f>VLOOKUP($F5,{"简单","8033";"中等","11475";"复杂","17213"},2,0)</f>
        <v/>
      </c>
      <c r="Y5" s="319" t="inlineStr">
        <is>
          <t>《使用手册》第39—40页是地质测绘收费基价和附加调整规则。</t>
        </is>
      </c>
      <c r="Z5" s="116" t="n">
        <v>1</v>
      </c>
      <c r="AA5" s="110" t="n"/>
      <c r="AB5" s="320">
        <f>VLOOKUP($O5,{"甲级","1.2";"乙级","1.0";"丙级","0.8"},2,0)</f>
        <v/>
      </c>
      <c r="AC5" s="110" t="inlineStr">
        <is>
          <t>【第一层】【系数】要素1：岩土工程勘察。
系数："甲级","1.2";"乙级","1.0";"丙级","0.8"}</t>
        </is>
      </c>
      <c r="AD5" s="321">
        <f>H5+AG5-X5</f>
        <v/>
      </c>
      <c r="AE5" s="321">
        <f>M5+AH5-Z5</f>
        <v/>
      </c>
      <c r="AF5" s="321">
        <f>P5+AI5-AB5</f>
        <v/>
      </c>
      <c r="AG5" s="322" t="n"/>
      <c r="AH5" s="322" t="n"/>
      <c r="AI5" s="322" t="n"/>
      <c r="AJ5" s="322" t="n"/>
      <c r="AK5" s="322" t="n"/>
      <c r="AL5" s="133" t="n"/>
      <c r="AM5" s="133" t="n"/>
      <c r="AN5" s="133" t="n"/>
      <c r="AO5" s="133" t="n"/>
    </row>
    <row r="6" ht="22.5" customHeight="1" s="301">
      <c r="A6" s="223" t="n">
        <v>2</v>
      </c>
      <c r="B6" s="323" t="n"/>
      <c r="C6" s="323" t="n"/>
      <c r="D6" s="323" t="n"/>
      <c r="E6" s="43" t="inlineStr">
        <is>
          <t>1:1000</t>
        </is>
      </c>
      <c r="F6" s="208" t="inlineStr">
        <is>
          <t>中等</t>
        </is>
      </c>
      <c r="G6" s="208" t="inlineStr">
        <is>
          <t>km2</t>
        </is>
      </c>
      <c r="H6" s="312" t="n"/>
      <c r="I6" s="313" t="n">
        <v>0.5</v>
      </c>
      <c r="J6" s="313" t="n"/>
      <c r="K6" s="313" t="n"/>
      <c r="L6" s="313" t="n"/>
      <c r="M6" s="314" t="n"/>
      <c r="N6" s="324">
        <f>H6*I6*M6</f>
        <v/>
      </c>
      <c r="O6" s="208" t="inlineStr">
        <is>
          <t>甲级</t>
        </is>
      </c>
      <c r="P6" s="316" t="n"/>
      <c r="Q6" s="324">
        <f>N6*P6</f>
        <v/>
      </c>
      <c r="R6" s="324">
        <f>N6+Q6</f>
        <v/>
      </c>
      <c r="S6" s="318" t="inlineStr">
        <is>
          <t>表3.2-1、表3.2-2</t>
        </is>
      </c>
      <c r="T6" s="318" t="n"/>
      <c r="U6" s="114" t="n"/>
      <c r="X6" s="116">
        <f>VLOOKUP($F6,{"简单","5355";"中等","7650";"复杂","11475"},2,0)</f>
        <v/>
      </c>
      <c r="Y6" s="325" t="inlineStr">
        <is>
          <t>为啥表3-地质测绘单独一个表</t>
        </is>
      </c>
      <c r="Z6" s="116" t="n">
        <v>1</v>
      </c>
      <c r="AA6" s="110" t="n"/>
      <c r="AB6" s="320">
        <f>VLOOKUP($O6,{"甲级","1.2";"乙级","1.0";"丙级","0.8"},2,0)</f>
        <v/>
      </c>
      <c r="AC6" s="110" t="n"/>
      <c r="AD6" s="321">
        <f>H6+AG6-X6</f>
        <v/>
      </c>
      <c r="AE6" s="321">
        <f>M6+AH6-Z6</f>
        <v/>
      </c>
      <c r="AF6" s="321">
        <f>P6+AI6-AB6</f>
        <v/>
      </c>
      <c r="AG6" s="322" t="n"/>
      <c r="AH6" s="322" t="n"/>
      <c r="AI6" s="322" t="n"/>
      <c r="AJ6" s="322" t="n"/>
      <c r="AK6" s="322" t="n"/>
      <c r="AL6" s="133" t="n"/>
      <c r="AM6" s="133" t="n"/>
      <c r="AN6" s="133" t="n"/>
      <c r="AO6" s="133" t="n"/>
    </row>
    <row r="7" ht="22.5" customHeight="1" s="301">
      <c r="A7" s="223" t="n">
        <v>3</v>
      </c>
      <c r="B7" s="323" t="n"/>
      <c r="C7" s="323" t="n"/>
      <c r="D7" s="323" t="n"/>
      <c r="E7" s="43" t="inlineStr">
        <is>
          <t>1:1000</t>
        </is>
      </c>
      <c r="F7" s="208" t="inlineStr">
        <is>
          <t>复杂</t>
        </is>
      </c>
      <c r="G7" s="208" t="inlineStr">
        <is>
          <t>km2</t>
        </is>
      </c>
      <c r="H7" s="312" t="n"/>
      <c r="I7" s="313" t="n"/>
      <c r="J7" s="313" t="n"/>
      <c r="K7" s="313" t="n"/>
      <c r="L7" s="313" t="n"/>
      <c r="M7" s="314" t="n"/>
      <c r="N7" s="324">
        <f>H7*I7*M7</f>
        <v/>
      </c>
      <c r="O7" s="208" t="inlineStr">
        <is>
          <t>甲级</t>
        </is>
      </c>
      <c r="P7" s="316" t="n"/>
      <c r="Q7" s="324">
        <f>N7*P7</f>
        <v/>
      </c>
      <c r="R7" s="324">
        <f>N7+Q7</f>
        <v/>
      </c>
      <c r="S7" s="318" t="inlineStr">
        <is>
          <t>表3.2-1、表3.2-2</t>
        </is>
      </c>
      <c r="T7" s="318" t="n"/>
      <c r="U7" s="114" t="n"/>
      <c r="X7" s="116">
        <f>VLOOKUP($F7,{"简单","5355";"中等","7650";"复杂","11475"},2,0)</f>
        <v/>
      </c>
      <c r="Y7" s="111" t="n"/>
      <c r="Z7" s="116" t="n">
        <v>1</v>
      </c>
      <c r="AA7" s="111" t="n"/>
      <c r="AB7" s="320">
        <f>VLOOKUP($O7,{"甲级","1.2";"乙级","1.0";"丙级","0.8"},2,0)</f>
        <v/>
      </c>
      <c r="AC7" s="111" t="n"/>
      <c r="AD7" s="321">
        <f>H7+AG7-X7</f>
        <v/>
      </c>
      <c r="AE7" s="321">
        <f>M7+AH7-Z7</f>
        <v/>
      </c>
      <c r="AF7" s="321">
        <f>P7+AI7-AB7</f>
        <v/>
      </c>
      <c r="AG7" s="322" t="n"/>
      <c r="AH7" s="322" t="n"/>
      <c r="AI7" s="322" t="n"/>
      <c r="AJ7" s="322" t="n"/>
      <c r="AK7" s="322" t="n"/>
      <c r="AL7" s="133" t="n"/>
      <c r="AM7" s="133" t="n"/>
      <c r="AN7" s="133" t="n"/>
      <c r="AO7" s="133" t="n"/>
    </row>
    <row r="8" ht="22.5" customHeight="1" s="301">
      <c r="A8" s="223" t="n">
        <v>4</v>
      </c>
      <c r="B8" s="323" t="n"/>
      <c r="C8" s="323" t="n"/>
      <c r="D8" s="323" t="n"/>
      <c r="E8" s="43" t="inlineStr">
        <is>
          <t>1:2000</t>
        </is>
      </c>
      <c r="F8" s="208" t="inlineStr">
        <is>
          <t>中等</t>
        </is>
      </c>
      <c r="G8" s="208" t="inlineStr">
        <is>
          <t>km2</t>
        </is>
      </c>
      <c r="H8" s="312" t="n"/>
      <c r="I8" s="313" t="n">
        <v>3.776</v>
      </c>
      <c r="J8" s="313" t="n"/>
      <c r="K8" s="313" t="n"/>
      <c r="L8" s="313" t="n"/>
      <c r="M8" s="314" t="n"/>
      <c r="N8" s="324">
        <f>H8*I8*M8</f>
        <v/>
      </c>
      <c r="O8" s="208" t="inlineStr">
        <is>
          <t>甲级</t>
        </is>
      </c>
      <c r="P8" s="316" t="n"/>
      <c r="Q8" s="324">
        <f>N8*P8</f>
        <v/>
      </c>
      <c r="R8" s="324">
        <f>N8+Q8</f>
        <v/>
      </c>
      <c r="S8" s="318" t="inlineStr">
        <is>
          <t>表3.2-1、表3.2-2</t>
        </is>
      </c>
      <c r="T8" s="318" t="n"/>
      <c r="U8" s="114" t="n"/>
      <c r="X8" s="116">
        <f>VLOOKUP($F8,{"简单","3570";"中等","5100";"复杂","7650"},2,0)</f>
        <v/>
      </c>
      <c r="Y8" s="111" t="n"/>
      <c r="Z8" s="116" t="n">
        <v>1</v>
      </c>
      <c r="AA8" s="111" t="n"/>
      <c r="AB8" s="320">
        <f>VLOOKUP($O8,{"甲级","1.2";"乙级","1.0";"丙级","0.8"},2,0)</f>
        <v/>
      </c>
      <c r="AC8" s="111" t="n"/>
      <c r="AD8" s="321">
        <f>H8+AG8-X8</f>
        <v/>
      </c>
      <c r="AE8" s="321">
        <f>M8+AH8-Z8</f>
        <v/>
      </c>
      <c r="AF8" s="321">
        <f>P8+AI8-AB8</f>
        <v/>
      </c>
      <c r="AG8" s="322" t="n"/>
      <c r="AH8" s="322" t="n"/>
      <c r="AI8" s="322" t="n"/>
      <c r="AJ8" s="322" t="n"/>
      <c r="AK8" s="322" t="n"/>
      <c r="AL8" s="133" t="n"/>
      <c r="AM8" s="133" t="n"/>
      <c r="AN8" s="133" t="n"/>
      <c r="AO8" s="133" t="n"/>
    </row>
    <row r="9" ht="22.5" customHeight="1" s="301">
      <c r="A9" s="223" t="n">
        <v>5</v>
      </c>
      <c r="B9" s="323" t="n"/>
      <c r="C9" s="323" t="n"/>
      <c r="D9" s="323" t="n"/>
      <c r="E9" s="43" t="inlineStr">
        <is>
          <t>1:10000</t>
        </is>
      </c>
      <c r="F9" s="208" t="inlineStr">
        <is>
          <t>复杂</t>
        </is>
      </c>
      <c r="G9" s="208" t="inlineStr">
        <is>
          <t>km2</t>
        </is>
      </c>
      <c r="H9" s="312" t="n"/>
      <c r="I9" s="313" t="n"/>
      <c r="J9" s="313" t="n"/>
      <c r="K9" s="313" t="n"/>
      <c r="L9" s="313" t="n"/>
      <c r="M9" s="314" t="n"/>
      <c r="N9" s="324">
        <f>H9*I9*M9</f>
        <v/>
      </c>
      <c r="O9" s="208" t="inlineStr">
        <is>
          <t>甲级</t>
        </is>
      </c>
      <c r="P9" s="316" t="n"/>
      <c r="Q9" s="324">
        <f>N9*P9</f>
        <v/>
      </c>
      <c r="R9" s="324">
        <f>N9+Q9</f>
        <v/>
      </c>
      <c r="S9" s="318" t="n"/>
      <c r="T9" s="318" t="inlineStr">
        <is>
          <t>带状工程地质测绘系数1.3</t>
        </is>
      </c>
      <c r="U9" s="114" t="n"/>
      <c r="X9" s="116">
        <f>VLOOKUP($F9,{"简单","536";"中等","765";"复杂","1148"},2,0)</f>
        <v/>
      </c>
      <c r="Y9" s="111" t="n"/>
      <c r="Z9" s="116" t="n">
        <v>1.3</v>
      </c>
      <c r="AA9" s="111" t="inlineStr">
        <is>
          <t>带状工程地质测绘系数1.3</t>
        </is>
      </c>
      <c r="AB9" s="320">
        <f>VLOOKUP($O9,{"甲级","1.2";"乙级","1.0";"丙级","0.8"},2,0)</f>
        <v/>
      </c>
      <c r="AC9" s="111" t="n"/>
      <c r="AD9" s="321">
        <f>H9+AG9-X9</f>
        <v/>
      </c>
      <c r="AE9" s="321">
        <f>M9+AH9-Z9</f>
        <v/>
      </c>
      <c r="AF9" s="321">
        <f>P9+AI9-AB9</f>
        <v/>
      </c>
      <c r="AG9" s="322" t="n"/>
      <c r="AH9" s="322" t="n"/>
      <c r="AI9" s="322" t="n"/>
      <c r="AJ9" s="322" t="n"/>
      <c r="AK9" s="322" t="n"/>
      <c r="AL9" s="133" t="n"/>
      <c r="AM9" s="133" t="n"/>
      <c r="AN9" s="133" t="n"/>
      <c r="AO9" s="133" t="n"/>
    </row>
    <row r="10" ht="22.5" customHeight="1" s="301">
      <c r="A10" s="223" t="n">
        <v>6</v>
      </c>
      <c r="B10" s="323" t="n"/>
      <c r="C10" s="323" t="n"/>
      <c r="D10" s="323" t="n"/>
      <c r="E10" s="43" t="inlineStr">
        <is>
          <t>1:10000</t>
        </is>
      </c>
      <c r="F10" s="208" t="inlineStr">
        <is>
          <t>中等</t>
        </is>
      </c>
      <c r="G10" s="208" t="inlineStr">
        <is>
          <t>km2</t>
        </is>
      </c>
      <c r="H10" s="312" t="n"/>
      <c r="I10" s="313" t="n"/>
      <c r="J10" s="313" t="n"/>
      <c r="K10" s="313" t="n"/>
      <c r="L10" s="313" t="n"/>
      <c r="M10" s="314" t="n"/>
      <c r="N10" s="324">
        <f>H10*I10*M10</f>
        <v/>
      </c>
      <c r="O10" s="208" t="inlineStr">
        <is>
          <t>甲级</t>
        </is>
      </c>
      <c r="P10" s="316" t="n"/>
      <c r="Q10" s="324">
        <f>N10*P10</f>
        <v/>
      </c>
      <c r="R10" s="324">
        <f>N10+Q10</f>
        <v/>
      </c>
      <c r="S10" s="318" t="n"/>
      <c r="T10" s="318" t="inlineStr">
        <is>
          <t>带状工程地质测绘系数1.3</t>
        </is>
      </c>
      <c r="U10" s="114" t="n"/>
      <c r="X10" s="116">
        <f>VLOOKUP($F10,{"简单","536";"中等","765";"复杂","1148"},2,0)</f>
        <v/>
      </c>
      <c r="Y10" s="111" t="n"/>
      <c r="Z10" s="116" t="n">
        <v>1.3</v>
      </c>
      <c r="AA10" s="111" t="inlineStr">
        <is>
          <t>带状工程地质测绘系数1.3</t>
        </is>
      </c>
      <c r="AB10" s="320">
        <f>VLOOKUP($O10,{"甲级","1.2";"乙级","1.0";"丙级","0.8"},2,0)</f>
        <v/>
      </c>
      <c r="AC10" s="111" t="n"/>
      <c r="AD10" s="321">
        <f>H10+AG10-X10</f>
        <v/>
      </c>
      <c r="AE10" s="321">
        <f>M10+AH10-Z10</f>
        <v/>
      </c>
      <c r="AF10" s="321">
        <f>P10+AI10-AB10</f>
        <v/>
      </c>
      <c r="AG10" s="322" t="n"/>
      <c r="AH10" s="322" t="n"/>
      <c r="AI10" s="322" t="n"/>
      <c r="AJ10" s="322" t="n"/>
      <c r="AK10" s="322" t="n"/>
      <c r="AL10" s="133" t="n"/>
      <c r="AM10" s="133" t="n"/>
      <c r="AN10" s="133" t="n"/>
      <c r="AO10" s="133" t="n"/>
    </row>
    <row r="11" ht="22.5" customHeight="1" s="301">
      <c r="A11" s="223" t="n">
        <v>7</v>
      </c>
      <c r="B11" s="323" t="n"/>
      <c r="C11" s="323" t="n"/>
      <c r="D11" s="323" t="n"/>
      <c r="E11" s="143" t="inlineStr">
        <is>
          <t>1:50000</t>
        </is>
      </c>
      <c r="F11" s="276" t="inlineStr">
        <is>
          <t>复杂</t>
        </is>
      </c>
      <c r="G11" s="208" t="inlineStr">
        <is>
          <t>km2</t>
        </is>
      </c>
      <c r="H11" s="326" t="n"/>
      <c r="I11" s="313" t="n">
        <v>17.34</v>
      </c>
      <c r="J11" s="327" t="n"/>
      <c r="K11" s="327" t="n"/>
      <c r="L11" s="327" t="n"/>
      <c r="M11" s="314" t="n"/>
      <c r="N11" s="324">
        <f>H11*I11*M11</f>
        <v/>
      </c>
      <c r="O11" s="208" t="inlineStr">
        <is>
          <t>甲级</t>
        </is>
      </c>
      <c r="P11" s="316" t="n"/>
      <c r="Q11" s="324">
        <f>N11*P11</f>
        <v/>
      </c>
      <c r="R11" s="324">
        <f>N11+Q11</f>
        <v/>
      </c>
      <c r="S11" s="318" t="inlineStr">
        <is>
          <t>表3.2-1、表3.2-2</t>
        </is>
      </c>
      <c r="T11" s="318" t="inlineStr">
        <is>
          <t>带状工程地质测绘系数1.3</t>
        </is>
      </c>
      <c r="U11" s="114" t="n"/>
      <c r="X11" s="116">
        <f>VLOOKUP($F11,{"简单","134";"中等","191";"复杂","287"},2,0)</f>
        <v/>
      </c>
      <c r="Y11" s="111" t="n"/>
      <c r="Z11" s="116" t="n">
        <v>1.3</v>
      </c>
      <c r="AA11" s="111" t="inlineStr">
        <is>
          <t>带状工程地质测绘系数1.3</t>
        </is>
      </c>
      <c r="AB11" s="320">
        <f>VLOOKUP($O11,{"甲级","1.2";"乙级","1.0";"丙级","0.8"},2,0)</f>
        <v/>
      </c>
      <c r="AC11" s="111" t="n"/>
      <c r="AD11" s="321">
        <f>H11+AG11-X11</f>
        <v/>
      </c>
      <c r="AE11" s="321">
        <f>M11+AH11-Z11</f>
        <v/>
      </c>
      <c r="AF11" s="321">
        <f>P11+AI11-AB11</f>
        <v/>
      </c>
      <c r="AG11" s="322" t="n"/>
      <c r="AH11" s="322" t="n"/>
      <c r="AI11" s="322" t="n"/>
      <c r="AJ11" s="322" t="n"/>
      <c r="AK11" s="322" t="n"/>
      <c r="AL11" s="133" t="n"/>
      <c r="AM11" s="133" t="n"/>
      <c r="AN11" s="133" t="n"/>
      <c r="AO11" s="133" t="n"/>
    </row>
    <row r="12" ht="22.5" customHeight="1" s="301">
      <c r="A12" s="223" t="n">
        <v>8</v>
      </c>
      <c r="B12" s="323" t="n"/>
      <c r="C12" s="323" t="n"/>
      <c r="D12" s="323" t="n"/>
      <c r="E12" s="143" t="inlineStr">
        <is>
          <t>1:50000</t>
        </is>
      </c>
      <c r="F12" s="276" t="inlineStr">
        <is>
          <t>中等</t>
        </is>
      </c>
      <c r="G12" s="208" t="inlineStr">
        <is>
          <t>km2</t>
        </is>
      </c>
      <c r="H12" s="326" t="n"/>
      <c r="I12" s="313" t="n">
        <v>192.92</v>
      </c>
      <c r="J12" s="327" t="n"/>
      <c r="K12" s="327" t="n"/>
      <c r="L12" s="327" t="n"/>
      <c r="M12" s="314" t="n"/>
      <c r="N12" s="324">
        <f>H12*I12*M12</f>
        <v/>
      </c>
      <c r="O12" s="208" t="inlineStr">
        <is>
          <t>甲级</t>
        </is>
      </c>
      <c r="P12" s="316" t="n"/>
      <c r="Q12" s="324">
        <f>N12*P12</f>
        <v/>
      </c>
      <c r="R12" s="324">
        <f>N12+Q12</f>
        <v/>
      </c>
      <c r="S12" s="318" t="inlineStr">
        <is>
          <t>表3.2-1、表3.2-2</t>
        </is>
      </c>
      <c r="T12" s="318" t="inlineStr">
        <is>
          <t>带状工程地质测绘系数1.3</t>
        </is>
      </c>
      <c r="U12" s="114" t="n"/>
      <c r="X12" s="116">
        <f>VLOOKUP($F12,{"简单","134";"中等","191";"复杂","287"},2,0)</f>
        <v/>
      </c>
      <c r="Y12" s="111" t="n"/>
      <c r="Z12" s="116" t="n">
        <v>1.3</v>
      </c>
      <c r="AA12" s="111" t="inlineStr">
        <is>
          <t>带状工程地质测绘系数1.3</t>
        </is>
      </c>
      <c r="AB12" s="320">
        <f>VLOOKUP($O12,{"甲级","1.2";"乙级","1.0";"丙级","0.8"},2,0)</f>
        <v/>
      </c>
      <c r="AC12" s="111" t="n"/>
      <c r="AD12" s="321">
        <f>H12+AG12-X12</f>
        <v/>
      </c>
      <c r="AE12" s="321">
        <f>M12+AH12-Z12</f>
        <v/>
      </c>
      <c r="AF12" s="321">
        <f>P12+AI12-AB12</f>
        <v/>
      </c>
      <c r="AG12" s="322" t="n"/>
      <c r="AH12" s="322" t="n"/>
      <c r="AI12" s="322" t="n"/>
      <c r="AJ12" s="322" t="n"/>
      <c r="AK12" s="322" t="n"/>
      <c r="AL12" s="133" t="n"/>
      <c r="AM12" s="133" t="n"/>
      <c r="AN12" s="133" t="n"/>
      <c r="AO12" s="133" t="n"/>
    </row>
    <row r="13" ht="22.5" customFormat="1" customHeight="1" s="197">
      <c r="A13" s="64" t="inlineStr">
        <is>
          <t>合计</t>
        </is>
      </c>
      <c r="B13" s="209" t="inlineStr">
        <is>
          <t>合计</t>
        </is>
      </c>
      <c r="C13" s="303" t="n"/>
      <c r="D13" s="303" t="n"/>
      <c r="E13" s="303" t="n"/>
      <c r="F13" s="303" t="n"/>
      <c r="G13" s="303" t="n"/>
      <c r="H13" s="303" t="n"/>
      <c r="I13" s="303" t="n"/>
      <c r="J13" s="303" t="n"/>
      <c r="K13" s="303" t="n"/>
      <c r="L13" s="303" t="n"/>
      <c r="M13" s="304" t="n"/>
      <c r="N13" s="328">
        <f>SUM(N5:N12)</f>
        <v/>
      </c>
      <c r="O13" s="190" t="n"/>
      <c r="P13" s="329" t="n"/>
      <c r="Q13" s="328">
        <f>SUM(Q5:Q12)</f>
        <v/>
      </c>
      <c r="R13" s="328">
        <f>SUM(R5:R12)</f>
        <v/>
      </c>
      <c r="S13" s="190" t="n"/>
      <c r="T13" s="192" t="n"/>
      <c r="U13" s="183" t="n"/>
      <c r="W13" s="198" t="n"/>
      <c r="X13" s="193" t="n"/>
      <c r="Y13" s="185" t="n"/>
      <c r="Z13" s="193" t="n"/>
      <c r="AA13" s="185" t="n"/>
      <c r="AB13" s="330" t="n"/>
      <c r="AC13" s="185" t="n"/>
      <c r="AD13" s="331">
        <f>H13+AG13-X13</f>
        <v/>
      </c>
      <c r="AE13" s="331">
        <f>M13+AH13-Z13</f>
        <v/>
      </c>
      <c r="AF13" s="331">
        <f>P13+AI13-AB13</f>
        <v/>
      </c>
      <c r="AG13" s="195" t="n"/>
      <c r="AH13" s="195" t="n"/>
      <c r="AI13" s="195" t="n"/>
      <c r="AJ13" s="195" t="n"/>
      <c r="AK13" s="195" t="n"/>
      <c r="AL13" s="196" t="n"/>
      <c r="AM13" s="196" t="n"/>
      <c r="AN13" s="196" t="n"/>
      <c r="AO13" s="196" t="n"/>
    </row>
    <row r="14" ht="22.5" customHeight="1" s="301">
      <c r="U14" s="103" t="n"/>
      <c r="X14" s="80" t="n"/>
      <c r="Y14" s="106" t="n"/>
      <c r="Z14" s="80" t="n"/>
      <c r="AA14" s="106" t="n"/>
      <c r="AB14" s="332" t="n"/>
      <c r="AC14" s="106" t="n"/>
      <c r="AD14" s="333" t="n"/>
      <c r="AE14" s="333" t="n"/>
      <c r="AF14" s="333" t="n"/>
    </row>
    <row r="15" ht="22.5" customHeight="1" s="301">
      <c r="U15" s="103" t="n"/>
      <c r="X15" s="104" t="n"/>
      <c r="Y15" s="104" t="n"/>
      <c r="Z15" s="334" t="inlineStr">
        <is>
          <t>【实物工作费附加调整系数】</t>
        </is>
      </c>
      <c r="AA15" s="106" t="n"/>
      <c r="AB15" s="334" t="inlineStr">
        <is>
          <t>【技术工作费附加调整系数】</t>
        </is>
      </c>
      <c r="AC15" s="106" t="n"/>
      <c r="AD15" s="333" t="n"/>
      <c r="AE15" s="333" t="n"/>
      <c r="AF15" s="333" t="n"/>
    </row>
    <row r="16" ht="22.5" customHeight="1" s="301">
      <c r="X16" s="104" t="n"/>
      <c r="Y16" s="104" t="n"/>
      <c r="Z16" s="334" t="inlineStr">
        <is>
          <t>带状工程地质测绘系数:1.3</t>
        </is>
      </c>
      <c r="AB16" s="334" t="inlineStr">
        <is>
          <t>默认;1.2</t>
        </is>
      </c>
      <c r="AC16" s="106" t="n"/>
      <c r="AD16" s="333" t="n"/>
      <c r="AE16" s="333" t="n"/>
      <c r="AF16" s="333" t="n"/>
    </row>
    <row r="17" ht="22.5" customHeight="1" s="301">
      <c r="X17" s="104" t="n"/>
      <c r="Y17" s="104" t="n"/>
      <c r="Z17" s="334" t="inlineStr">
        <is>
          <t>与其他测绘工作同时进行:1.5</t>
        </is>
      </c>
      <c r="AB17" s="334" t="inlineStr">
        <is>
          <t>此列规则明确，不需要经验数</t>
        </is>
      </c>
      <c r="AC17" s="106" t="n"/>
      <c r="AD17" s="333" t="n"/>
      <c r="AE17" s="333" t="n"/>
      <c r="AF17" s="333" t="n"/>
    </row>
    <row r="18" ht="22.5" customHeight="1" s="301">
      <c r="X18" s="104" t="n"/>
      <c r="Y18" s="104" t="n"/>
      <c r="Z18" s="334" t="inlineStr">
        <is>
          <t>默认;1.0</t>
        </is>
      </c>
      <c r="AB18" s="334" t="n"/>
      <c r="AC18" s="106" t="n"/>
      <c r="AD18" s="333" t="n"/>
      <c r="AE18" s="333" t="n"/>
      <c r="AF18" s="333" t="n"/>
    </row>
    <row r="19" ht="22.5" customHeight="1" s="301">
      <c r="X19" s="104" t="n"/>
      <c r="Y19" s="104" t="n"/>
      <c r="Z19" s="334" t="n"/>
      <c r="AB19" s="334" t="n"/>
      <c r="AD19" s="333" t="n"/>
      <c r="AE19" s="333" t="n"/>
      <c r="AF19" s="333" t="n"/>
    </row>
    <row r="20" ht="22.5" customHeight="1" s="301">
      <c r="X20" s="104" t="n"/>
      <c r="Y20" s="104" t="n"/>
      <c r="Z20" s="334" t="n"/>
      <c r="AB20" s="334" t="n"/>
      <c r="AD20" s="333" t="n"/>
      <c r="AE20" s="333" t="n"/>
      <c r="AF20" s="333" t="n"/>
    </row>
    <row r="21" ht="22.5" customHeight="1" s="301">
      <c r="X21" s="104" t="n"/>
      <c r="Y21" s="104" t="n"/>
      <c r="Z21" s="334" t="n"/>
      <c r="AB21" s="334" t="n"/>
      <c r="AD21" s="333" t="n"/>
      <c r="AE21" s="333" t="n"/>
      <c r="AF21" s="333" t="n"/>
    </row>
    <row r="22" ht="22.5" customHeight="1" s="301">
      <c r="X22" s="104" t="n"/>
      <c r="Y22" s="104" t="n"/>
      <c r="Z22" s="334" t="n"/>
      <c r="AB22" s="334" t="n"/>
      <c r="AD22" s="333" t="n"/>
      <c r="AE22" s="333" t="n"/>
      <c r="AF22" s="333" t="n"/>
    </row>
    <row r="23" ht="22.5" customHeight="1" s="301">
      <c r="X23" s="80" t="n"/>
      <c r="AB23" s="332" t="n"/>
      <c r="AD23" s="333" t="n"/>
      <c r="AE23" s="333" t="n"/>
      <c r="AF23" s="333" t="n"/>
    </row>
    <row r="24" ht="22.5" customHeight="1" s="301">
      <c r="X24" s="80" t="n"/>
      <c r="AB24" s="332" t="n"/>
      <c r="AD24" s="333" t="n"/>
      <c r="AE24" s="333" t="n"/>
      <c r="AF24" s="333" t="n"/>
    </row>
    <row r="25" ht="22.5" customHeight="1" s="301">
      <c r="AD25" s="333" t="n"/>
      <c r="AE25" s="333" t="n"/>
      <c r="AF25" s="333" t="n"/>
    </row>
    <row r="26" ht="22.5" customHeight="1" s="301">
      <c r="AD26" s="333" t="n"/>
      <c r="AE26" s="333" t="n"/>
      <c r="AF26" s="333" t="n"/>
    </row>
    <row r="27" ht="22.5" customHeight="1" s="301">
      <c r="AD27" s="333" t="n"/>
      <c r="AE27" s="333" t="n"/>
      <c r="AF27" s="333" t="n"/>
    </row>
    <row r="28" ht="22.5" customHeight="1" s="301">
      <c r="AD28" s="333" t="n"/>
      <c r="AE28" s="333" t="n"/>
      <c r="AF28" s="333" t="n"/>
    </row>
    <row r="29" ht="22.5" customHeight="1" s="301">
      <c r="AD29" s="333" t="n"/>
      <c r="AE29" s="333" t="n"/>
      <c r="AF29" s="333" t="n"/>
    </row>
    <row r="30" ht="22.5" customHeight="1" s="301">
      <c r="AD30" s="333" t="n"/>
      <c r="AE30" s="333" t="n"/>
      <c r="AF30" s="333" t="n"/>
    </row>
    <row r="31" ht="22.5" customHeight="1" s="301">
      <c r="AD31" s="333" t="n"/>
      <c r="AE31" s="333" t="n"/>
      <c r="AF31" s="333" t="n"/>
    </row>
    <row r="32" ht="22.5" customHeight="1" s="301">
      <c r="AD32" s="333" t="n"/>
      <c r="AE32" s="333" t="n"/>
      <c r="AF32" s="333" t="n"/>
    </row>
    <row r="33" ht="22.5" customHeight="1" s="301">
      <c r="AD33" s="333" t="n"/>
      <c r="AE33" s="333" t="n"/>
      <c r="AF33" s="333" t="n"/>
    </row>
    <row r="34" ht="22.5" customHeight="1" s="301">
      <c r="AD34" s="333" t="n"/>
      <c r="AE34" s="333" t="n"/>
      <c r="AF34" s="333" t="n"/>
    </row>
    <row r="35" ht="22.5" customHeight="1" s="301">
      <c r="AD35" s="333" t="n"/>
      <c r="AE35" s="333" t="n"/>
      <c r="AF35" s="333" t="n"/>
    </row>
    <row r="36" ht="22.5" customHeight="1" s="301">
      <c r="AD36" s="333" t="n"/>
      <c r="AE36" s="333" t="n"/>
      <c r="AF36" s="333" t="n"/>
    </row>
    <row r="37" ht="22.5" customHeight="1" s="301">
      <c r="AD37" s="333" t="n"/>
      <c r="AE37" s="333" t="n"/>
      <c r="AF37" s="333" t="n"/>
    </row>
    <row r="38" ht="22.5" customHeight="1" s="301">
      <c r="AD38" s="333" t="n"/>
      <c r="AE38" s="333" t="n"/>
      <c r="AF38" s="333" t="n"/>
    </row>
    <row r="39" ht="22.5" customHeight="1" s="301">
      <c r="AD39" s="333" t="n"/>
      <c r="AE39" s="333" t="n"/>
      <c r="AF39" s="333" t="n"/>
    </row>
    <row r="40" ht="22.5" customHeight="1" s="301">
      <c r="AD40" s="333" t="n"/>
      <c r="AE40" s="333" t="n"/>
      <c r="AF40" s="333" t="n"/>
    </row>
    <row r="41" ht="22.5" customHeight="1" s="301">
      <c r="AD41" s="333" t="n"/>
      <c r="AE41" s="333" t="n"/>
      <c r="AF41" s="333" t="n"/>
    </row>
    <row r="42" ht="22.5" customHeight="1" s="301">
      <c r="AD42" s="333" t="n"/>
      <c r="AE42" s="333" t="n"/>
      <c r="AF42" s="333" t="n"/>
    </row>
    <row r="43" ht="22.5" customHeight="1" s="301">
      <c r="AD43" s="333" t="n"/>
      <c r="AE43" s="333" t="n"/>
      <c r="AF43" s="333" t="n"/>
    </row>
    <row r="44" ht="22.5" customHeight="1" s="301">
      <c r="AD44" s="333" t="n"/>
      <c r="AE44" s="333" t="n"/>
      <c r="AF44" s="333" t="n"/>
    </row>
    <row r="45" ht="22.5" customHeight="1" s="301">
      <c r="AD45" s="333" t="n"/>
      <c r="AE45" s="333" t="n"/>
      <c r="AF45" s="333" t="n"/>
    </row>
    <row r="46" ht="22.5" customHeight="1" s="301">
      <c r="AD46" s="333" t="n"/>
      <c r="AE46" s="333" t="n"/>
      <c r="AF46" s="333" t="n"/>
    </row>
    <row r="47" ht="22.5" customHeight="1" s="301">
      <c r="AD47" s="333" t="n"/>
      <c r="AE47" s="333" t="n"/>
      <c r="AF47" s="333" t="n"/>
    </row>
    <row r="48" ht="22.5" customHeight="1" s="301">
      <c r="AD48" s="333" t="n"/>
      <c r="AE48" s="333" t="n"/>
      <c r="AF48" s="333" t="n"/>
    </row>
    <row r="49" ht="22.5" customHeight="1" s="301">
      <c r="AD49" s="333" t="n"/>
      <c r="AE49" s="333" t="n"/>
      <c r="AF49" s="333" t="n"/>
    </row>
    <row r="50" ht="22.5" customHeight="1" s="301">
      <c r="AD50" s="333" t="n"/>
      <c r="AE50" s="333" t="n"/>
      <c r="AF50" s="333" t="n"/>
    </row>
    <row r="51" ht="22.5" customHeight="1" s="301">
      <c r="AD51" s="333" t="n"/>
      <c r="AE51" s="333" t="n"/>
      <c r="AF51" s="333" t="n"/>
    </row>
    <row r="52" ht="22.5" customHeight="1" s="301">
      <c r="AD52" s="333" t="n"/>
      <c r="AE52" s="333" t="n"/>
      <c r="AF52" s="333" t="n"/>
    </row>
    <row r="53" ht="22.5" customHeight="1" s="301">
      <c r="AD53" s="333" t="n"/>
      <c r="AE53" s="333" t="n"/>
      <c r="AF53" s="333" t="n"/>
    </row>
    <row r="54" ht="22.5" customHeight="1" s="301">
      <c r="AD54" s="333" t="n"/>
      <c r="AE54" s="333" t="n"/>
      <c r="AF54" s="333" t="n"/>
    </row>
    <row r="55" ht="22.5" customHeight="1" s="301">
      <c r="AD55" s="333" t="n"/>
      <c r="AE55" s="333" t="n"/>
      <c r="AF55" s="333" t="n"/>
    </row>
    <row r="56" ht="22.5" customHeight="1" s="301">
      <c r="AD56" s="333" t="n"/>
      <c r="AE56" s="333" t="n"/>
      <c r="AF56" s="333" t="n"/>
    </row>
    <row r="57" ht="22.5" customHeight="1" s="301">
      <c r="AD57" s="333" t="n"/>
      <c r="AE57" s="333" t="n"/>
      <c r="AF57" s="333" t="n"/>
    </row>
    <row r="58" ht="22.5" customHeight="1" s="301">
      <c r="AD58" s="333" t="n"/>
      <c r="AE58" s="333" t="n"/>
      <c r="AF58" s="333" t="n"/>
    </row>
    <row r="59" ht="22.5" customHeight="1" s="301">
      <c r="AD59" s="333" t="n"/>
      <c r="AE59" s="333" t="n"/>
      <c r="AF59" s="333" t="n"/>
    </row>
    <row r="60" ht="22.5" customHeight="1" s="301">
      <c r="AD60" s="333" t="n"/>
      <c r="AE60" s="333" t="n"/>
      <c r="AF60" s="333" t="n"/>
    </row>
    <row r="61" ht="22.5" customHeight="1" s="301">
      <c r="AD61" s="333" t="n"/>
      <c r="AE61" s="333" t="n"/>
      <c r="AF61" s="333" t="n"/>
    </row>
    <row r="62" ht="22.5" customHeight="1" s="301">
      <c r="AD62" s="333" t="n"/>
      <c r="AE62" s="333" t="n"/>
      <c r="AF62" s="333" t="n"/>
    </row>
    <row r="63" ht="22.5" customHeight="1" s="301">
      <c r="AD63" s="333" t="n"/>
      <c r="AE63" s="333" t="n"/>
      <c r="AF63" s="333" t="n"/>
    </row>
    <row r="64" ht="22.5" customHeight="1" s="301">
      <c r="AD64" s="333" t="n"/>
      <c r="AE64" s="333" t="n"/>
      <c r="AF64" s="333" t="n"/>
    </row>
    <row r="65" ht="22.5" customHeight="1" s="301">
      <c r="AD65" s="333" t="n"/>
      <c r="AE65" s="333" t="n"/>
      <c r="AF65" s="333" t="n"/>
    </row>
    <row r="66" ht="22.5" customHeight="1" s="301">
      <c r="AD66" s="333" t="n"/>
      <c r="AE66" s="333" t="n"/>
      <c r="AF66" s="333" t="n"/>
    </row>
    <row r="67" ht="22.5" customHeight="1" s="301">
      <c r="AD67" s="333" t="n"/>
      <c r="AE67" s="333" t="n"/>
      <c r="AF67" s="333" t="n"/>
    </row>
    <row r="68" ht="22.5" customHeight="1" s="301">
      <c r="AD68" s="333" t="n"/>
      <c r="AE68" s="333" t="n"/>
      <c r="AF68" s="333" t="n"/>
    </row>
    <row r="69" ht="22.5" customHeight="1" s="301">
      <c r="AD69" s="333" t="n"/>
      <c r="AE69" s="333" t="n"/>
      <c r="AF69" s="333" t="n"/>
    </row>
    <row r="70" ht="22.5" customHeight="1" s="301">
      <c r="AD70" s="333" t="n"/>
      <c r="AE70" s="333" t="n"/>
      <c r="AF70" s="333" t="n"/>
    </row>
    <row r="71" ht="22.5" customHeight="1" s="301">
      <c r="AD71" s="333" t="n"/>
      <c r="AE71" s="333" t="n"/>
      <c r="AF71" s="333" t="n"/>
    </row>
    <row r="72" ht="22.5" customHeight="1" s="301">
      <c r="AD72" s="333" t="n"/>
      <c r="AE72" s="333" t="n"/>
      <c r="AF72" s="333" t="n"/>
    </row>
    <row r="73" ht="22.5" customHeight="1" s="301">
      <c r="AD73" s="333" t="n"/>
      <c r="AE73" s="333" t="n"/>
      <c r="AF73" s="333" t="n"/>
    </row>
    <row r="74" ht="22.5" customHeight="1" s="301">
      <c r="AD74" s="333" t="n"/>
      <c r="AE74" s="333" t="n"/>
      <c r="AF74" s="333" t="n"/>
    </row>
    <row r="75" ht="22.5" customHeight="1" s="301">
      <c r="AD75" s="333" t="n"/>
      <c r="AE75" s="333" t="n"/>
      <c r="AF75" s="333" t="n"/>
    </row>
    <row r="76" ht="22.5" customHeight="1" s="301">
      <c r="AD76" s="333" t="n"/>
      <c r="AE76" s="333" t="n"/>
      <c r="AF76" s="333" t="n"/>
    </row>
    <row r="77" ht="22.5" customHeight="1" s="301">
      <c r="AD77" s="333" t="n"/>
      <c r="AE77" s="333" t="n"/>
      <c r="AF77" s="333" t="n"/>
    </row>
    <row r="78" ht="22.5" customHeight="1" s="301">
      <c r="AD78" s="333" t="n"/>
      <c r="AE78" s="333" t="n"/>
      <c r="AF78" s="333" t="n"/>
    </row>
    <row r="79" ht="22.5" customHeight="1" s="301">
      <c r="AD79" s="333" t="n"/>
      <c r="AE79" s="333" t="n"/>
      <c r="AF79" s="333" t="n"/>
    </row>
    <row r="80" ht="22.5" customHeight="1" s="301">
      <c r="AD80" s="333" t="n"/>
      <c r="AE80" s="333" t="n"/>
      <c r="AF80" s="333" t="n"/>
    </row>
    <row r="81" ht="22.5" customHeight="1" s="301">
      <c r="AD81" s="333" t="n"/>
      <c r="AE81" s="333" t="n"/>
      <c r="AF81" s="333" t="n"/>
    </row>
    <row r="82" ht="22.5" customHeight="1" s="301">
      <c r="AD82" s="333" t="n"/>
      <c r="AE82" s="333" t="n"/>
      <c r="AF82" s="333" t="n"/>
    </row>
    <row r="83" ht="22.5" customHeight="1" s="301">
      <c r="AD83" s="333" t="n"/>
      <c r="AE83" s="333" t="n"/>
      <c r="AF83" s="333" t="n"/>
    </row>
    <row r="84" ht="22.5" customHeight="1" s="301">
      <c r="AD84" s="333" t="n"/>
      <c r="AE84" s="333" t="n"/>
      <c r="AF84" s="333" t="n"/>
    </row>
    <row r="85" ht="22.5" customHeight="1" s="301">
      <c r="AD85" s="333" t="n"/>
      <c r="AE85" s="333" t="n"/>
      <c r="AF85" s="333" t="n"/>
    </row>
    <row r="86" ht="22.5" customHeight="1" s="301">
      <c r="AD86" s="333" t="n"/>
      <c r="AE86" s="333" t="n"/>
      <c r="AF86" s="333" t="n"/>
    </row>
    <row r="87" ht="22.5" customHeight="1" s="301">
      <c r="AD87" s="333" t="n"/>
      <c r="AE87" s="333" t="n"/>
      <c r="AF87" s="333" t="n"/>
    </row>
    <row r="88" ht="22.5" customHeight="1" s="301">
      <c r="AD88" s="333" t="n"/>
      <c r="AE88" s="333" t="n"/>
      <c r="AF88" s="333" t="n"/>
    </row>
    <row r="89" ht="22.5" customHeight="1" s="301">
      <c r="AD89" s="333" t="n"/>
      <c r="AE89" s="333" t="n"/>
      <c r="AF89" s="333" t="n"/>
    </row>
    <row r="90" ht="22.5" customHeight="1" s="301">
      <c r="AD90" s="333" t="n"/>
      <c r="AE90" s="333" t="n"/>
      <c r="AF90" s="333" t="n"/>
    </row>
    <row r="91" ht="22.5" customHeight="1" s="301">
      <c r="AD91" s="333" t="n"/>
      <c r="AE91" s="333" t="n"/>
      <c r="AF91" s="333" t="n"/>
    </row>
    <row r="92" ht="22.5" customHeight="1" s="301">
      <c r="AD92" s="333" t="n"/>
      <c r="AE92" s="333" t="n"/>
      <c r="AF92" s="333" t="n"/>
    </row>
    <row r="93" ht="22.5" customHeight="1" s="301">
      <c r="AD93" s="333" t="n"/>
      <c r="AE93" s="333" t="n"/>
      <c r="AF93" s="333" t="n"/>
    </row>
    <row r="94" ht="22.5" customHeight="1" s="301">
      <c r="AD94" s="333" t="n"/>
      <c r="AE94" s="333" t="n"/>
      <c r="AF94" s="333" t="n"/>
    </row>
    <row r="95" ht="22.5" customHeight="1" s="301">
      <c r="AD95" s="333" t="n"/>
      <c r="AE95" s="333" t="n"/>
      <c r="AF95" s="333" t="n"/>
    </row>
    <row r="96" ht="22.5" customHeight="1" s="301">
      <c r="AD96" s="333" t="n"/>
      <c r="AE96" s="333" t="n"/>
      <c r="AF96" s="333" t="n"/>
    </row>
    <row r="97" ht="22.5" customHeight="1" s="301">
      <c r="AD97" s="333" t="n"/>
      <c r="AE97" s="333" t="n"/>
      <c r="AF97" s="333" t="n"/>
    </row>
    <row r="98" ht="22.5" customHeight="1" s="301">
      <c r="AD98" s="333" t="n"/>
      <c r="AE98" s="333" t="n"/>
      <c r="AF98" s="333" t="n"/>
    </row>
    <row r="99" ht="22.5" customHeight="1" s="301">
      <c r="AD99" s="333" t="n"/>
      <c r="AE99" s="333" t="n"/>
      <c r="AF99" s="333" t="n"/>
    </row>
    <row r="100" ht="22.5" customHeight="1" s="301">
      <c r="AD100" s="333" t="n"/>
      <c r="AE100" s="333" t="n"/>
      <c r="AF100" s="333" t="n"/>
    </row>
    <row r="101" ht="22.5" customHeight="1" s="301">
      <c r="AD101" s="333" t="n"/>
      <c r="AE101" s="333" t="n"/>
      <c r="AF101" s="333" t="n"/>
    </row>
    <row r="102" ht="22.5" customHeight="1" s="301">
      <c r="AD102" s="333" t="n"/>
      <c r="AE102" s="333" t="n"/>
      <c r="AF102" s="333" t="n"/>
    </row>
    <row r="103" ht="22.5" customHeight="1" s="301">
      <c r="AD103" s="333" t="n"/>
      <c r="AE103" s="333" t="n"/>
      <c r="AF103" s="333" t="n"/>
    </row>
    <row r="104" ht="22.5" customHeight="1" s="301">
      <c r="AD104" s="333" t="n"/>
      <c r="AE104" s="333" t="n"/>
      <c r="AF104" s="333" t="n"/>
    </row>
    <row r="105" ht="22.5" customHeight="1" s="301">
      <c r="AD105" s="333" t="n"/>
      <c r="AE105" s="333" t="n"/>
      <c r="AF105" s="333" t="n"/>
    </row>
    <row r="106" ht="22.5" customHeight="1" s="301">
      <c r="AD106" s="333" t="n"/>
      <c r="AE106" s="333" t="n"/>
      <c r="AF106" s="333" t="n"/>
    </row>
    <row r="107" ht="22.5" customHeight="1" s="301">
      <c r="AD107" s="333" t="n"/>
      <c r="AE107" s="333" t="n"/>
      <c r="AF107" s="333" t="n"/>
    </row>
    <row r="108" ht="22.5" customHeight="1" s="301">
      <c r="AD108" s="333" t="n"/>
      <c r="AE108" s="333" t="n"/>
      <c r="AF108" s="333" t="n"/>
    </row>
    <row r="109" ht="22.5" customHeight="1" s="301">
      <c r="AD109" s="333" t="n"/>
      <c r="AE109" s="333" t="n"/>
      <c r="AF109" s="333" t="n"/>
    </row>
    <row r="110" ht="22.5" customHeight="1" s="301">
      <c r="AD110" s="333" t="n"/>
      <c r="AE110" s="333" t="n"/>
      <c r="AF110" s="333" t="n"/>
    </row>
    <row r="111" ht="22.5" customHeight="1" s="301">
      <c r="AD111" s="333" t="n"/>
      <c r="AE111" s="333" t="n"/>
      <c r="AF111" s="333" t="n"/>
    </row>
    <row r="112" ht="22.5" customHeight="1" s="301">
      <c r="AD112" s="333" t="n"/>
      <c r="AE112" s="333" t="n"/>
      <c r="AF112" s="333" t="n"/>
    </row>
    <row r="113" ht="22.5" customHeight="1" s="301">
      <c r="AD113" s="333" t="n"/>
      <c r="AE113" s="333" t="n"/>
      <c r="AF113" s="333" t="n"/>
    </row>
    <row r="114" ht="22.5" customHeight="1" s="301">
      <c r="AD114" s="333" t="n"/>
      <c r="AE114" s="333" t="n"/>
      <c r="AF114" s="333" t="n"/>
    </row>
    <row r="115" ht="22.5" customHeight="1" s="301">
      <c r="AD115" s="333" t="n"/>
      <c r="AE115" s="333" t="n"/>
      <c r="AF115" s="333" t="n"/>
    </row>
    <row r="116" ht="22.5" customHeight="1" s="301">
      <c r="AD116" s="333" t="n"/>
      <c r="AE116" s="333" t="n"/>
      <c r="AF116" s="333" t="n"/>
    </row>
    <row r="117" ht="22.5" customHeight="1" s="301">
      <c r="AD117" s="333" t="n"/>
      <c r="AE117" s="333" t="n"/>
      <c r="AF117" s="333" t="n"/>
    </row>
    <row r="118" ht="22.5" customHeight="1" s="301">
      <c r="AD118" s="333" t="n"/>
      <c r="AE118" s="333" t="n"/>
      <c r="AF118" s="333" t="n"/>
    </row>
    <row r="119" ht="22.5" customHeight="1" s="301">
      <c r="AD119" s="333" t="n"/>
      <c r="AE119" s="333" t="n"/>
      <c r="AF119" s="333" t="n"/>
    </row>
    <row r="120" ht="22.5" customHeight="1" s="301">
      <c r="AD120" s="333" t="n"/>
      <c r="AE120" s="333" t="n"/>
      <c r="AF120" s="333" t="n"/>
    </row>
    <row r="121" ht="22.5" customHeight="1" s="301">
      <c r="AD121" s="333" t="n"/>
      <c r="AE121" s="333" t="n"/>
      <c r="AF121" s="333" t="n"/>
    </row>
    <row r="122" ht="22.5" customHeight="1" s="301">
      <c r="AD122" s="333" t="n"/>
      <c r="AE122" s="333" t="n"/>
      <c r="AF122" s="333" t="n"/>
    </row>
    <row r="123" ht="22.5" customHeight="1" s="301">
      <c r="AD123" s="333" t="n"/>
      <c r="AE123" s="333" t="n"/>
      <c r="AF123" s="333" t="n"/>
    </row>
    <row r="124" ht="22.5" customHeight="1" s="301">
      <c r="AD124" s="333" t="n"/>
      <c r="AE124" s="333" t="n"/>
      <c r="AF124" s="333" t="n"/>
    </row>
    <row r="125" ht="22.5" customHeight="1" s="301">
      <c r="AD125" s="333" t="n"/>
      <c r="AE125" s="333" t="n"/>
      <c r="AF125" s="333" t="n"/>
    </row>
    <row r="126" ht="22.5" customHeight="1" s="301">
      <c r="AD126" s="333" t="n"/>
      <c r="AE126" s="333" t="n"/>
      <c r="AF126" s="333" t="n"/>
    </row>
    <row r="127" ht="22.5" customHeight="1" s="301">
      <c r="AD127" s="333" t="n"/>
      <c r="AE127" s="333" t="n"/>
      <c r="AF127" s="333" t="n"/>
    </row>
    <row r="128" ht="22.5" customHeight="1" s="301">
      <c r="AD128" s="333" t="n"/>
      <c r="AE128" s="333" t="n"/>
      <c r="AF128" s="333" t="n"/>
    </row>
    <row r="129" ht="22.5" customHeight="1" s="301">
      <c r="AD129" s="333" t="n"/>
      <c r="AE129" s="333" t="n"/>
      <c r="AF129" s="333" t="n"/>
    </row>
    <row r="130" ht="22.5" customHeight="1" s="301">
      <c r="AD130" s="333" t="n"/>
      <c r="AE130" s="333" t="n"/>
      <c r="AF130" s="333" t="n"/>
    </row>
    <row r="131" ht="22.5" customHeight="1" s="301">
      <c r="AD131" s="333" t="n"/>
      <c r="AE131" s="333" t="n"/>
      <c r="AF131" s="333" t="n"/>
    </row>
    <row r="132" ht="22.5" customHeight="1" s="301">
      <c r="AD132" s="333" t="n"/>
      <c r="AE132" s="333" t="n"/>
      <c r="AF132" s="333" t="n"/>
    </row>
    <row r="133" ht="22.5" customHeight="1" s="301">
      <c r="AD133" s="333" t="n"/>
      <c r="AE133" s="333" t="n"/>
      <c r="AF133" s="333" t="n"/>
    </row>
    <row r="134" ht="22.5" customHeight="1" s="301">
      <c r="AD134" s="333" t="n"/>
      <c r="AE134" s="333" t="n"/>
      <c r="AF134" s="333" t="n"/>
    </row>
    <row r="135" ht="22.5" customHeight="1" s="301">
      <c r="AD135" s="333" t="n"/>
      <c r="AE135" s="333" t="n"/>
      <c r="AF135" s="333" t="n"/>
    </row>
    <row r="136" ht="22.5" customHeight="1" s="301">
      <c r="AD136" s="333" t="n"/>
      <c r="AE136" s="333" t="n"/>
      <c r="AF136" s="333" t="n"/>
    </row>
    <row r="137" ht="22.5" customHeight="1" s="301">
      <c r="AD137" s="333" t="n"/>
      <c r="AE137" s="333" t="n"/>
      <c r="AF137" s="333" t="n"/>
    </row>
    <row r="138" ht="22.5" customHeight="1" s="301">
      <c r="AD138" s="333" t="n"/>
      <c r="AE138" s="333" t="n"/>
      <c r="AF138" s="333" t="n"/>
    </row>
    <row r="139" ht="22.5" customHeight="1" s="301">
      <c r="AD139" s="333" t="n"/>
      <c r="AE139" s="333" t="n"/>
      <c r="AF139" s="333" t="n"/>
    </row>
    <row r="140" ht="22.5" customHeight="1" s="301">
      <c r="AD140" s="333" t="n"/>
      <c r="AE140" s="333" t="n"/>
      <c r="AF140" s="333" t="n"/>
    </row>
    <row r="141" ht="22.5" customHeight="1" s="301">
      <c r="AD141" s="333" t="n"/>
      <c r="AE141" s="333" t="n"/>
      <c r="AF141" s="333" t="n"/>
    </row>
    <row r="142" ht="22.5" customHeight="1" s="301">
      <c r="AD142" s="333" t="n"/>
      <c r="AE142" s="333" t="n"/>
      <c r="AF142" s="333" t="n"/>
    </row>
    <row r="143" ht="22.5" customHeight="1" s="301">
      <c r="AD143" s="333" t="n"/>
      <c r="AE143" s="333" t="n"/>
      <c r="AF143" s="333" t="n"/>
    </row>
    <row r="144" ht="22.5" customHeight="1" s="301">
      <c r="AD144" s="333" t="n"/>
      <c r="AE144" s="333" t="n"/>
      <c r="AF144" s="333" t="n"/>
    </row>
    <row r="145" ht="22.5" customHeight="1" s="301">
      <c r="AD145" s="333" t="n"/>
      <c r="AE145" s="333" t="n"/>
      <c r="AF145" s="333" t="n"/>
    </row>
    <row r="146" ht="22.5" customHeight="1" s="301">
      <c r="AD146" s="333" t="n"/>
      <c r="AE146" s="333" t="n"/>
      <c r="AF146" s="333" t="n"/>
    </row>
    <row r="147" ht="22.5" customHeight="1" s="301">
      <c r="AD147" s="333" t="n"/>
      <c r="AE147" s="333" t="n"/>
      <c r="AF147" s="333" t="n"/>
    </row>
    <row r="148" ht="22.5" customHeight="1" s="301">
      <c r="AD148" s="333" t="n"/>
      <c r="AE148" s="333" t="n"/>
      <c r="AF148" s="333" t="n"/>
    </row>
    <row r="149" ht="22.5" customHeight="1" s="301">
      <c r="AD149" s="333" t="n"/>
      <c r="AE149" s="333" t="n"/>
      <c r="AF149" s="333" t="n"/>
    </row>
    <row r="150" ht="22.5" customHeight="1" s="301">
      <c r="AD150" s="333" t="n"/>
      <c r="AE150" s="333" t="n"/>
      <c r="AF150" s="333" t="n"/>
    </row>
    <row r="151" ht="22.5" customHeight="1" s="301">
      <c r="AD151" s="333" t="n"/>
      <c r="AE151" s="333" t="n"/>
      <c r="AF151" s="333" t="n"/>
    </row>
    <row r="152" ht="22.5" customHeight="1" s="301">
      <c r="AD152" s="333" t="n"/>
      <c r="AE152" s="333" t="n"/>
      <c r="AF152" s="333" t="n"/>
    </row>
    <row r="153" ht="22.5" customHeight="1" s="301">
      <c r="AD153" s="333" t="n"/>
      <c r="AE153" s="333" t="n"/>
      <c r="AF153" s="333" t="n"/>
    </row>
    <row r="154" ht="22.5" customHeight="1" s="301">
      <c r="AD154" s="333" t="n"/>
      <c r="AE154" s="333" t="n"/>
      <c r="AF154" s="333" t="n"/>
    </row>
    <row r="155" ht="22.5" customHeight="1" s="301">
      <c r="AD155" s="333" t="n"/>
      <c r="AE155" s="333" t="n"/>
      <c r="AF155" s="333" t="n"/>
    </row>
    <row r="156" ht="22.5" customHeight="1" s="301">
      <c r="AD156" s="333" t="n"/>
      <c r="AE156" s="333" t="n"/>
      <c r="AF156" s="333" t="n"/>
    </row>
    <row r="157" ht="22.5" customHeight="1" s="301">
      <c r="AD157" s="333" t="n"/>
      <c r="AE157" s="333" t="n"/>
      <c r="AF157" s="333" t="n"/>
    </row>
    <row r="158" ht="22.5" customHeight="1" s="301">
      <c r="AD158" s="333" t="n"/>
      <c r="AE158" s="333" t="n"/>
      <c r="AF158" s="333" t="n"/>
    </row>
    <row r="159" ht="22.5" customHeight="1" s="301">
      <c r="AD159" s="333" t="n"/>
      <c r="AE159" s="333" t="n"/>
      <c r="AF159" s="333" t="n"/>
    </row>
    <row r="160" ht="22.5" customHeight="1" s="301">
      <c r="AD160" s="333" t="n"/>
      <c r="AE160" s="333" t="n"/>
      <c r="AF160" s="333" t="n"/>
    </row>
    <row r="161" ht="22.5" customHeight="1" s="301">
      <c r="AD161" s="333" t="n"/>
      <c r="AE161" s="333" t="n"/>
      <c r="AF161" s="333" t="n"/>
    </row>
    <row r="162" ht="22.5" customHeight="1" s="301">
      <c r="AD162" s="333" t="n"/>
      <c r="AE162" s="333" t="n"/>
      <c r="AF162" s="333" t="n"/>
    </row>
    <row r="163" ht="22.5" customHeight="1" s="301">
      <c r="AD163" s="333" t="n"/>
      <c r="AE163" s="333" t="n"/>
      <c r="AF163" s="333" t="n"/>
    </row>
    <row r="164" ht="22.5" customHeight="1" s="301">
      <c r="AD164" s="333" t="n"/>
      <c r="AE164" s="333" t="n"/>
      <c r="AF164" s="333" t="n"/>
    </row>
    <row r="165" ht="22.5" customHeight="1" s="301">
      <c r="AD165" s="333" t="n"/>
      <c r="AE165" s="333" t="n"/>
      <c r="AF165" s="333" t="n"/>
    </row>
    <row r="166" ht="22.5" customHeight="1" s="301">
      <c r="AD166" s="333" t="n"/>
      <c r="AE166" s="333" t="n"/>
      <c r="AF166" s="333" t="n"/>
    </row>
    <row r="167" ht="22.5" customHeight="1" s="301">
      <c r="AD167" s="333" t="n"/>
      <c r="AE167" s="333" t="n"/>
      <c r="AF167" s="333" t="n"/>
    </row>
    <row r="168" ht="22.5" customHeight="1" s="301">
      <c r="AD168" s="333" t="n"/>
      <c r="AE168" s="333" t="n"/>
      <c r="AF168" s="333" t="n"/>
    </row>
    <row r="169" ht="22.5" customHeight="1" s="301">
      <c r="AD169" s="333" t="n"/>
      <c r="AE169" s="333" t="n"/>
      <c r="AF169" s="333" t="n"/>
    </row>
    <row r="170" ht="22.5" customHeight="1" s="301">
      <c r="AD170" s="333" t="n"/>
      <c r="AE170" s="333" t="n"/>
      <c r="AF170" s="333" t="n"/>
    </row>
    <row r="171" ht="22.5" customHeight="1" s="301">
      <c r="AD171" s="333" t="n"/>
      <c r="AE171" s="333" t="n"/>
      <c r="AF171" s="333" t="n"/>
    </row>
    <row r="172" ht="22.5" customHeight="1" s="301">
      <c r="AD172" s="333" t="n"/>
      <c r="AE172" s="333" t="n"/>
      <c r="AF172" s="333" t="n"/>
    </row>
    <row r="173" ht="22.5" customHeight="1" s="301">
      <c r="AD173" s="333" t="n"/>
      <c r="AE173" s="333" t="n"/>
      <c r="AF173" s="333" t="n"/>
    </row>
    <row r="174" ht="22.5" customHeight="1" s="301">
      <c r="AD174" s="333" t="n"/>
      <c r="AE174" s="333" t="n"/>
      <c r="AF174" s="333" t="n"/>
    </row>
    <row r="175" ht="22.5" customHeight="1" s="301">
      <c r="AD175" s="333" t="n"/>
      <c r="AE175" s="333" t="n"/>
      <c r="AF175" s="333" t="n"/>
    </row>
    <row r="176" ht="22.5" customHeight="1" s="301">
      <c r="AD176" s="333" t="n"/>
      <c r="AE176" s="333" t="n"/>
      <c r="AF176" s="333" t="n"/>
    </row>
    <row r="177" ht="22.5" customHeight="1" s="301">
      <c r="AD177" s="333" t="n"/>
      <c r="AE177" s="333" t="n"/>
      <c r="AF177" s="333" t="n"/>
    </row>
    <row r="178" ht="22.5" customHeight="1" s="301">
      <c r="AD178" s="333" t="n"/>
      <c r="AE178" s="333" t="n"/>
      <c r="AF178" s="333" t="n"/>
    </row>
    <row r="179" ht="22.5" customHeight="1" s="301">
      <c r="AD179" s="333" t="n"/>
      <c r="AE179" s="333" t="n"/>
      <c r="AF179" s="333" t="n"/>
    </row>
    <row r="180" ht="22.5" customHeight="1" s="301">
      <c r="AD180" s="333" t="n"/>
      <c r="AE180" s="333" t="n"/>
      <c r="AF180" s="333" t="n"/>
    </row>
    <row r="181" ht="22.5" customHeight="1" s="301">
      <c r="AD181" s="333" t="n"/>
      <c r="AE181" s="333" t="n"/>
      <c r="AF181" s="333" t="n"/>
    </row>
    <row r="182" ht="22.5" customHeight="1" s="301">
      <c r="AD182" s="333" t="n"/>
      <c r="AE182" s="333" t="n"/>
      <c r="AF182" s="333" t="n"/>
    </row>
    <row r="183" ht="22.5" customHeight="1" s="301">
      <c r="AD183" s="333" t="n"/>
      <c r="AE183" s="333" t="n"/>
      <c r="AF183" s="333" t="n"/>
    </row>
    <row r="184" ht="22.5" customHeight="1" s="301">
      <c r="AD184" s="333" t="n"/>
      <c r="AE184" s="333" t="n"/>
      <c r="AF184" s="333" t="n"/>
    </row>
    <row r="185" ht="22.5" customHeight="1" s="301">
      <c r="AD185" s="333" t="n"/>
      <c r="AE185" s="333" t="n"/>
      <c r="AF185" s="333" t="n"/>
    </row>
    <row r="186" ht="22.5" customHeight="1" s="301">
      <c r="AD186" s="333" t="n"/>
      <c r="AE186" s="333" t="n"/>
      <c r="AF186" s="333" t="n"/>
    </row>
    <row r="187" ht="22.5" customHeight="1" s="301">
      <c r="AD187" s="333" t="n"/>
      <c r="AE187" s="333" t="n"/>
      <c r="AF187" s="333" t="n"/>
    </row>
    <row r="188" ht="22.5" customHeight="1" s="301">
      <c r="AD188" s="333" t="n"/>
      <c r="AE188" s="333" t="n"/>
      <c r="AF188" s="333" t="n"/>
    </row>
    <row r="189" ht="22.5" customHeight="1" s="301">
      <c r="AD189" s="333" t="n"/>
      <c r="AE189" s="333" t="n"/>
      <c r="AF189" s="333" t="n"/>
    </row>
    <row r="190" ht="22.5" customHeight="1" s="301">
      <c r="AD190" s="333" t="n"/>
      <c r="AE190" s="333" t="n"/>
      <c r="AF190" s="333" t="n"/>
    </row>
    <row r="191" ht="22.5" customHeight="1" s="301">
      <c r="AD191" s="333" t="n"/>
      <c r="AE191" s="333" t="n"/>
      <c r="AF191" s="333" t="n"/>
    </row>
    <row r="192" ht="22.5" customHeight="1" s="301">
      <c r="AD192" s="333" t="n"/>
      <c r="AE192" s="333" t="n"/>
      <c r="AF192" s="333" t="n"/>
    </row>
    <row r="193" ht="22.5" customHeight="1" s="301">
      <c r="AD193" s="333" t="n"/>
      <c r="AE193" s="333" t="n"/>
      <c r="AF193" s="333" t="n"/>
    </row>
    <row r="194" ht="22.5" customHeight="1" s="301">
      <c r="AD194" s="333" t="n"/>
      <c r="AE194" s="333" t="n"/>
      <c r="AF194" s="333" t="n"/>
    </row>
    <row r="195" ht="22.5" customHeight="1" s="301">
      <c r="AD195" s="333" t="n"/>
      <c r="AE195" s="333" t="n"/>
      <c r="AF195" s="333" t="n"/>
    </row>
    <row r="196" ht="22.5" customHeight="1" s="301">
      <c r="AD196" s="333" t="n"/>
      <c r="AE196" s="333" t="n"/>
      <c r="AF196" s="333" t="n"/>
    </row>
    <row r="197" ht="22.5" customHeight="1" s="301">
      <c r="AD197" s="333" t="n"/>
      <c r="AE197" s="333" t="n"/>
      <c r="AF197" s="333" t="n"/>
    </row>
    <row r="198" ht="22.5" customHeight="1" s="301">
      <c r="AD198" s="333" t="n"/>
      <c r="AE198" s="333" t="n"/>
      <c r="AF198" s="333" t="n"/>
    </row>
    <row r="199" ht="22.5" customHeight="1" s="301">
      <c r="AD199" s="333" t="n"/>
      <c r="AE199" s="333" t="n"/>
      <c r="AF199" s="333" t="n"/>
    </row>
    <row r="200" ht="22.5" customHeight="1" s="301">
      <c r="AD200" s="333" t="n"/>
      <c r="AE200" s="333" t="n"/>
      <c r="AF200" s="333" t="n"/>
    </row>
    <row r="201" ht="22.5" customHeight="1" s="301">
      <c r="AD201" s="333" t="n"/>
      <c r="AE201" s="333" t="n"/>
      <c r="AF201" s="333" t="n"/>
    </row>
    <row r="202" ht="22.5" customHeight="1" s="301">
      <c r="AD202" s="333" t="n"/>
      <c r="AE202" s="333" t="n"/>
      <c r="AF202" s="333" t="n"/>
    </row>
    <row r="203" ht="22.5" customHeight="1" s="301">
      <c r="AD203" s="333" t="n"/>
      <c r="AE203" s="333" t="n"/>
      <c r="AF203" s="333" t="n"/>
    </row>
    <row r="204" ht="22.5" customHeight="1" s="301">
      <c r="AD204" s="333" t="n"/>
      <c r="AE204" s="333" t="n"/>
      <c r="AF204" s="333" t="n"/>
    </row>
    <row r="205" ht="22.5" customHeight="1" s="301">
      <c r="AD205" s="333" t="n"/>
      <c r="AE205" s="333" t="n"/>
      <c r="AF205" s="333" t="n"/>
    </row>
    <row r="206" ht="22.5" customHeight="1" s="301">
      <c r="AD206" s="333" t="n"/>
      <c r="AE206" s="333" t="n"/>
      <c r="AF206" s="333" t="n"/>
    </row>
    <row r="207" ht="22.5" customHeight="1" s="301">
      <c r="AD207" s="333" t="n"/>
      <c r="AE207" s="333" t="n"/>
      <c r="AF207" s="333" t="n"/>
    </row>
    <row r="208" ht="22.5" customHeight="1" s="301">
      <c r="AD208" s="96" t="n"/>
      <c r="AE208" s="96" t="n"/>
      <c r="AF208" s="96" t="n"/>
    </row>
    <row r="209" ht="22.5" customHeight="1" s="301">
      <c r="AD209" s="96" t="n"/>
      <c r="AE209" s="96" t="n"/>
      <c r="AF209" s="96" t="n"/>
    </row>
  </sheetData>
  <autoFilter ref="A3:AT3">
    <filterColumn colId="1" hiddenButton="0" showButton="0"/>
  </autoFilter>
  <mergeCells count="12">
    <mergeCell ref="D5:D12"/>
    <mergeCell ref="B2:G2"/>
    <mergeCell ref="B3:C3"/>
    <mergeCell ref="H2:N2"/>
    <mergeCell ref="A1:S1"/>
    <mergeCell ref="C5:C12"/>
    <mergeCell ref="A2:A3"/>
    <mergeCell ref="B13:M13"/>
    <mergeCell ref="T2:T3"/>
    <mergeCell ref="O2:Q2"/>
    <mergeCell ref="S2:S3"/>
    <mergeCell ref="B5:B12"/>
  </mergeCells>
  <conditionalFormatting sqref="AD1:AF1048576">
    <cfRule type="cellIs" priority="1" operator="equal" dxfId="0">
      <formula>0</formula>
    </cfRule>
  </conditionalFormatting>
  <dataValidations count="2">
    <dataValidation sqref="F5:F12" showDropDown="0" showInputMessage="1" showErrorMessage="1" allowBlank="1" type="list">
      <formula1>"简单,中等,复杂"</formula1>
    </dataValidation>
    <dataValidation sqref="O5:O12" showDropDown="0" showInputMessage="1" showErrorMessage="1" allowBlank="1" type="list">
      <formula1>"甲级,乙级,丙级"</formula1>
    </dataValidation>
  </dataValidations>
  <printOptions horizontalCentered="1"/>
  <pageMargins left="0.786805555555556" right="0.590277777777778" top="0.786805555555556" bottom="0.590277777777778" header="0.5" footer="0.19652777777777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2020-03-06T04:10:00Z</dcterms:created>
  <dcterms:modified xmlns:dcterms="http://purl.org/dc/terms/" xmlns:xsi="http://www.w3.org/2001/XMLSchema-instance" xsi:type="dcterms:W3CDTF">2026-10-30T16:10:58Z</dcterms:modified>
  <cp:lastModifiedBy>萌 石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2052-12.8.2.19313</vt:lpwstr>
  </property>
  <property name="ICV" fmtid="{D5CDD505-2E9C-101B-9397-08002B2CF9AE}" pid="3">
    <vt:lpwstr xmlns:vt="http://schemas.openxmlformats.org/officeDocument/2006/docPropsVTypes">D90FEBA6341958DA7696466841050968_43</vt:lpwstr>
  </property>
</Properties>
</file>