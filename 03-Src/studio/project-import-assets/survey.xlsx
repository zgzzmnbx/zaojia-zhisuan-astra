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表2-通用工程测量费用" sheetId="1" state="visible" r:id="rId1"/>
  </sheets>
  <definedNames>
    <definedName name="_xlnm._FilterDatabase" localSheetId="0" hidden="1">'表2-通用工程测量费用'!$A$3:$AP$50</definedName>
    <definedName name="_xlnm.Print_Titles" localSheetId="0">'表2-通用工程测量费用'!$1:$3</definedName>
    <definedName name="_xlnm.Print_Area" localSheetId="0">'表2-通用工程测量费用'!$A$1:$P$49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_ "/>
    <numFmt numFmtId="165" formatCode="0.00_);\(0.00\)"/>
    <numFmt numFmtId="166" formatCode="0.00_ "/>
    <numFmt numFmtId="167" formatCode="0.00_);[Red]\(0.00\)"/>
    <numFmt numFmtId="168" formatCode="0.0_);\(0.0\)"/>
    <numFmt numFmtId="169" formatCode="0_);[Red]\(0\)"/>
    <numFmt numFmtId="170" formatCode="0.0_ "/>
    <numFmt numFmtId="171" formatCode="0.0000_ "/>
    <numFmt numFmtId="172" formatCode="0.000_ "/>
  </numFmts>
  <fonts count="36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9"/>
      <scheme val="minor"/>
    </font>
    <font>
      <name val="仿宋_GB2312"/>
      <charset val="134"/>
      <family val="3"/>
      <b val="1"/>
      <sz val="14"/>
    </font>
    <font>
      <name val="宋体"/>
      <charset val="134"/>
      <family val="3"/>
      <b val="1"/>
      <sz val="10"/>
      <scheme val="minor"/>
    </font>
    <font>
      <name val="宋体"/>
      <charset val="134"/>
      <family val="3"/>
      <sz val="10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宋体"/>
      <charset val="134"/>
      <family val="3"/>
      <color theme="1"/>
      <sz val="10"/>
      <scheme val="minor"/>
    </font>
    <font>
      <name val="Times New Roman"/>
      <family val="1"/>
      <b val="1"/>
      <sz val="14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仿宋_GB2312"/>
      <charset val="134"/>
      <family val="3"/>
      <sz val="10"/>
    </font>
    <font>
      <name val="宋体"/>
      <charset val="134"/>
      <family val="3"/>
      <color rgb="FFFF0000"/>
      <sz val="10"/>
      <scheme val="minor"/>
    </font>
    <font>
      <name val="宋体"/>
      <charset val="134"/>
      <family val="3"/>
      <sz val="10"/>
      <vertAlign val="superscript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4"/>
      <scheme val="major"/>
    </font>
    <font>
      <name val="宋体"/>
      <charset val="134"/>
      <family val="3"/>
      <color theme="1"/>
      <sz val="11"/>
      <scheme val="major"/>
    </font>
    <font>
      <name val="宋体"/>
      <charset val="134"/>
      <family val="3"/>
      <b val="1"/>
      <sz val="10"/>
      <scheme val="major"/>
    </font>
    <font>
      <name val="宋体"/>
      <charset val="134"/>
      <family val="3"/>
      <b val="1"/>
      <color theme="1"/>
      <sz val="11"/>
      <scheme val="major"/>
    </font>
    <font>
      <name val="宋体"/>
      <charset val="134"/>
      <family val="3"/>
      <sz val="10"/>
      <scheme val="major"/>
    </font>
    <font>
      <name val="宋体"/>
      <charset val="134"/>
      <family val="3"/>
      <color theme="1"/>
      <sz val="10"/>
      <scheme val="major"/>
    </font>
    <font>
      <name val="宋体"/>
      <charset val="134"/>
      <family val="3"/>
      <sz val="10"/>
      <vertAlign val="superscript"/>
      <scheme val="major"/>
    </font>
    <font>
      <name val="宋体"/>
      <charset val="134"/>
      <family val="3"/>
      <b val="1"/>
      <color theme="1"/>
      <sz val="10"/>
      <scheme val="major"/>
    </font>
    <font>
      <name val="宋体"/>
      <charset val="134"/>
      <family val="3"/>
      <sz val="11"/>
      <scheme val="major"/>
    </font>
    <font>
      <name val="宋体"/>
      <charset val="134"/>
      <family val="3"/>
      <color rgb="FF000000"/>
      <sz val="10"/>
      <scheme val="major"/>
    </font>
    <font>
      <name val="宋体"/>
      <charset val="134"/>
      <family val="3"/>
      <b val="1"/>
      <color theme="1"/>
      <sz val="9"/>
      <scheme val="minor"/>
    </font>
    <font>
      <name val="宋体"/>
      <charset val="134"/>
      <family val="3"/>
      <b val="1"/>
      <color rgb="FF00B050"/>
      <sz val="10"/>
      <scheme val="major"/>
    </font>
    <font>
      <name val="宋体"/>
      <charset val="134"/>
      <family val="3"/>
      <color rgb="FF00B050"/>
      <sz val="10"/>
      <scheme val="maj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rgb="FF00B050"/>
      <sz val="10"/>
      <scheme val="minor"/>
    </font>
    <font>
      <name val="宋体"/>
      <charset val="134"/>
      <family val="3"/>
      <b val="1"/>
      <color rgb="FFC00000"/>
      <sz val="10"/>
      <scheme val="major"/>
    </font>
    <font>
      <name val="宋体"/>
      <charset val="134"/>
      <family val="3"/>
      <b val="1"/>
      <color theme="4" tint="0.3999755851924192"/>
      <sz val="10"/>
      <scheme val="major"/>
    </font>
    <font>
      <name val="宋体"/>
      <charset val="134"/>
      <family val="3"/>
      <b val="1"/>
      <color rgb="FFC00000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2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7" fontId="4" fillId="2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8" fontId="4" fillId="0" borderId="5" applyAlignment="1" pivotButton="0" quotePrefix="0" xfId="0">
      <alignment horizontal="center" vertical="center" wrapText="1"/>
    </xf>
    <xf numFmtId="164" fontId="4" fillId="0" borderId="5" applyAlignment="1" pivotButton="0" quotePrefix="0" xfId="0">
      <alignment horizontal="right" vertical="center" wrapText="1"/>
    </xf>
    <xf numFmtId="166" fontId="4" fillId="0" borderId="5" applyAlignment="1" pivotButton="0" quotePrefix="0" xfId="0">
      <alignment horizontal="center" vertical="center" wrapText="1"/>
    </xf>
    <xf numFmtId="164" fontId="7" fillId="0" borderId="5" applyAlignment="1" pivotButton="0" quotePrefix="0" xfId="0">
      <alignment horizontal="right" vertical="center"/>
    </xf>
    <xf numFmtId="166" fontId="7" fillId="0" borderId="5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166" fontId="4" fillId="0" borderId="5" applyAlignment="1" pivotButton="0" quotePrefix="0" xfId="0">
      <alignment horizontal="right" vertical="center" wrapText="1"/>
    </xf>
    <xf numFmtId="169" fontId="4" fillId="0" borderId="1" applyAlignment="1" pivotButton="0" quotePrefix="0" xfId="0">
      <alignment horizontal="right" vertical="center" wrapText="1"/>
    </xf>
    <xf numFmtId="0" fontId="7" fillId="0" borderId="5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70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/>
    </xf>
    <xf numFmtId="167" fontId="9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vertical="center" wrapText="1"/>
    </xf>
    <xf numFmtId="170" fontId="3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/>
    </xf>
    <xf numFmtId="17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/>
    </xf>
    <xf numFmtId="166" fontId="4" fillId="0" borderId="1" applyAlignment="1" pivotButton="0" quotePrefix="0" xfId="0">
      <alignment vertical="center" wrapText="1"/>
    </xf>
    <xf numFmtId="171" fontId="4" fillId="0" borderId="1" applyAlignment="1" pivotButton="0" quotePrefix="0" xfId="0">
      <alignment vertical="center" wrapText="1"/>
    </xf>
    <xf numFmtId="166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left" vertical="center"/>
    </xf>
    <xf numFmtId="9" fontId="7" fillId="0" borderId="1" applyAlignment="1" pivotButton="0" quotePrefix="0" xfId="0">
      <alignment vertical="center"/>
    </xf>
    <xf numFmtId="171" fontId="7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49" fontId="20" fillId="6" borderId="1" applyAlignment="1" pivotButton="0" quotePrefix="0" xfId="0">
      <alignment horizontal="center" vertical="center" wrapText="1"/>
    </xf>
    <xf numFmtId="167" fontId="20" fillId="6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169" fontId="22" fillId="0" borderId="1" applyAlignment="1" pivotButton="0" quotePrefix="0" xfId="0">
      <alignment horizontal="center" vertical="center" wrapText="1"/>
    </xf>
    <xf numFmtId="169" fontId="2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6" fontId="22" fillId="0" borderId="1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67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6" borderId="0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 wrapText="1"/>
    </xf>
    <xf numFmtId="49" fontId="2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167" fontId="23" fillId="0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3" fillId="0" borderId="1" applyAlignment="1" pivotButton="0" quotePrefix="0" xfId="0">
      <alignment vertical="center" wrapText="1"/>
    </xf>
    <xf numFmtId="0" fontId="23" fillId="0" borderId="1" applyAlignment="1" pivotButton="0" quotePrefix="0" xfId="0">
      <alignment vertical="center" wrapText="1" shrinkToFit="1"/>
    </xf>
    <xf numFmtId="0" fontId="23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165" fontId="32" fillId="0" borderId="13" applyAlignment="1" pivotButton="0" quotePrefix="0" xfId="0">
      <alignment horizontal="left" vertical="center"/>
    </xf>
    <xf numFmtId="0" fontId="29" fillId="4" borderId="14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left" vertical="center" wrapText="1"/>
    </xf>
    <xf numFmtId="0" fontId="23" fillId="0" borderId="14" applyAlignment="1" pivotButton="0" quotePrefix="0" xfId="0">
      <alignment horizontal="left" vertical="center" wrapText="1"/>
    </xf>
    <xf numFmtId="165" fontId="32" fillId="0" borderId="14" applyAlignment="1" pivotButton="0" quotePrefix="0" xfId="0">
      <alignment horizontal="left" vertical="center" wrapText="1"/>
    </xf>
    <xf numFmtId="0" fontId="31" fillId="0" borderId="14" applyAlignment="1" pivotButton="0" quotePrefix="0" xfId="0">
      <alignment horizontal="left" vertical="center" wrapText="1"/>
    </xf>
    <xf numFmtId="0" fontId="23" fillId="0" borderId="8" applyAlignment="1" pivotButton="0" quotePrefix="0" xfId="0">
      <alignment vertical="center" wrapText="1"/>
    </xf>
    <xf numFmtId="0" fontId="23" fillId="0" borderId="8" applyAlignment="1" pivotButton="0" quotePrefix="0" xfId="0">
      <alignment vertical="center" wrapText="1" shrinkToFit="1"/>
    </xf>
    <xf numFmtId="0" fontId="22" fillId="0" borderId="14" applyAlignment="1" pivotButton="0" quotePrefix="0" xfId="0">
      <alignment horizontal="center" vertical="center" wrapText="1"/>
    </xf>
    <xf numFmtId="167" fontId="22" fillId="0" borderId="14" applyAlignment="1" pivotButton="0" quotePrefix="0" xfId="0">
      <alignment horizontal="center" vertical="center" wrapText="1"/>
    </xf>
    <xf numFmtId="0" fontId="23" fillId="0" borderId="14" applyAlignment="1" pivotButton="0" quotePrefix="0" xfId="0">
      <alignment horizontal="center" vertical="center"/>
    </xf>
    <xf numFmtId="164" fontId="23" fillId="0" borderId="14" applyAlignment="1" pivotButton="0" quotePrefix="0" xfId="0">
      <alignment horizontal="center" vertical="center" wrapText="1"/>
    </xf>
    <xf numFmtId="167" fontId="4" fillId="0" borderId="14" applyAlignment="1" pivotButton="0" quotePrefix="0" xfId="0">
      <alignment horizontal="center" vertical="center" wrapText="1"/>
    </xf>
    <xf numFmtId="167" fontId="29" fillId="0" borderId="14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20" fillId="6" borderId="2" applyAlignment="1" pivotButton="0" quotePrefix="0" xfId="0">
      <alignment horizontal="center" vertical="center" wrapText="1"/>
    </xf>
    <xf numFmtId="0" fontId="29" fillId="4" borderId="15" applyAlignment="1" pivotButton="0" quotePrefix="0" xfId="0">
      <alignment horizontal="left" vertical="center" wrapText="1"/>
    </xf>
    <xf numFmtId="0" fontId="34" fillId="6" borderId="14" applyAlignment="1" pivotButton="0" quotePrefix="0" xfId="0">
      <alignment horizontal="center" vertical="center" wrapText="1"/>
    </xf>
    <xf numFmtId="0" fontId="20" fillId="6" borderId="14" applyAlignment="1" pivotButton="0" quotePrefix="0" xfId="0">
      <alignment horizontal="center" vertical="center" wrapText="1"/>
    </xf>
    <xf numFmtId="0" fontId="14" fillId="6" borderId="14" applyAlignment="1" pivotButton="0" quotePrefix="0" xfId="0">
      <alignment horizontal="center" vertical="center" wrapText="1"/>
    </xf>
    <xf numFmtId="0" fontId="14" fillId="8" borderId="14" applyAlignment="1" pivotButton="0" quotePrefix="0" xfId="0">
      <alignment horizontal="center" vertical="center" wrapText="1"/>
    </xf>
    <xf numFmtId="164" fontId="7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17" fillId="6" borderId="14" applyAlignment="1" pivotButton="0" quotePrefix="0" xfId="0">
      <alignment horizontal="center" vertical="center" wrapText="1"/>
    </xf>
    <xf numFmtId="167" fontId="32" fillId="0" borderId="14" applyAlignment="1" pivotButton="0" quotePrefix="0" xfId="0">
      <alignment horizontal="left" vertical="center" wrapText="1"/>
    </xf>
    <xf numFmtId="167" fontId="4" fillId="0" borderId="14" applyAlignment="1" pivotButton="0" quotePrefix="0" xfId="0">
      <alignment horizontal="left" vertical="center" wrapText="1"/>
    </xf>
    <xf numFmtId="0" fontId="23" fillId="0" borderId="14" applyAlignment="1" pivotButton="0" quotePrefix="0" xfId="0">
      <alignment horizontal="center" vertical="center" wrapText="1"/>
    </xf>
    <xf numFmtId="0" fontId="25" fillId="6" borderId="14" applyAlignment="1" pivotButton="0" quotePrefix="0" xfId="0">
      <alignment horizontal="center" vertical="center" wrapText="1"/>
    </xf>
    <xf numFmtId="172" fontId="23" fillId="0" borderId="14" applyAlignment="1" pivotButton="0" quotePrefix="0" xfId="0">
      <alignment horizontal="center" vertical="center" wrapText="1"/>
    </xf>
    <xf numFmtId="167" fontId="22" fillId="0" borderId="1" applyAlignment="1" pivotButton="0" quotePrefix="0" xfId="0">
      <alignment horizontal="center" vertical="center" wrapText="1"/>
    </xf>
    <xf numFmtId="49" fontId="22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9" fontId="10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25" fillId="9" borderId="14" applyAlignment="1" pivotButton="0" quotePrefix="0" xfId="0">
      <alignment horizontal="center" vertical="center" wrapText="1"/>
    </xf>
    <xf numFmtId="0" fontId="25" fillId="10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5" fillId="10" borderId="14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14" fillId="0" borderId="5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7" fontId="4" fillId="0" borderId="4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164" fontId="4" fillId="0" borderId="4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2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0" fontId="18" fillId="0" borderId="1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9" fontId="25" fillId="0" borderId="5" applyAlignment="1" pivotButton="0" quotePrefix="0" xfId="0">
      <alignment horizontal="center" vertical="center"/>
    </xf>
    <xf numFmtId="167" fontId="25" fillId="0" borderId="5" applyAlignment="1" pivotButton="0" quotePrefix="0" xfId="0">
      <alignment horizontal="center" vertical="center"/>
    </xf>
    <xf numFmtId="0" fontId="25" fillId="0" borderId="1" applyAlignment="1" pivotButton="0" quotePrefix="0" xfId="0">
      <alignment vertical="center" wrapText="1"/>
    </xf>
    <xf numFmtId="0" fontId="25" fillId="0" borderId="8" applyAlignment="1" pivotButton="0" quotePrefix="0" xfId="0">
      <alignment vertical="center" wrapText="1"/>
    </xf>
    <xf numFmtId="0" fontId="25" fillId="0" borderId="14" applyAlignment="1" pivotButton="0" quotePrefix="0" xfId="0">
      <alignment vertical="center" wrapText="1"/>
    </xf>
    <xf numFmtId="0" fontId="25" fillId="0" borderId="14" applyAlignment="1" pivotButton="0" quotePrefix="0" xfId="0">
      <alignment horizontal="left" vertical="center" wrapText="1"/>
    </xf>
    <xf numFmtId="167" fontId="25" fillId="0" borderId="14" applyAlignment="1" pivotButton="0" quotePrefix="0" xfId="0">
      <alignment horizontal="center" vertical="center"/>
    </xf>
    <xf numFmtId="164" fontId="14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 wrapText="1"/>
    </xf>
    <xf numFmtId="164" fontId="14" fillId="0" borderId="5" applyAlignment="1" pivotButton="0" quotePrefix="0" xfId="0">
      <alignment horizontal="right" vertical="center"/>
    </xf>
    <xf numFmtId="0" fontId="14" fillId="0" borderId="5" applyAlignment="1" pivotButton="0" quotePrefix="0" xfId="0">
      <alignment horizontal="center" vertical="center"/>
    </xf>
    <xf numFmtId="166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167" fontId="20" fillId="0" borderId="14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4" fillId="0" borderId="9" applyAlignment="1" pivotButton="0" quotePrefix="0" xfId="0">
      <alignment vertical="center"/>
    </xf>
    <xf numFmtId="164" fontId="14" fillId="0" borderId="7" applyAlignment="1" pivotButton="0" quotePrefix="0" xfId="0">
      <alignment vertical="center"/>
    </xf>
    <xf numFmtId="0" fontId="21" fillId="0" borderId="0" applyAlignment="1" pivotButton="0" quotePrefix="0" xfId="0">
      <alignment vertical="center" wrapText="1"/>
    </xf>
    <xf numFmtId="164" fontId="25" fillId="0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textRotation="255" wrapText="1"/>
    </xf>
    <xf numFmtId="0" fontId="5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4" fontId="14" fillId="0" borderId="9" applyAlignment="1" pivotButton="0" quotePrefix="0" xfId="0">
      <alignment horizontal="center" vertical="center"/>
    </xf>
    <xf numFmtId="164" fontId="14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49" fontId="8" fillId="4" borderId="3" applyAlignment="1" pivotButton="0" quotePrefix="0" xfId="0">
      <alignment horizontal="center" vertical="center"/>
    </xf>
    <xf numFmtId="164" fontId="8" fillId="3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165" fontId="8" fillId="5" borderId="3" applyAlignment="1" pivotButton="0" quotePrefix="0" xfId="0">
      <alignment horizontal="center" vertical="center"/>
    </xf>
    <xf numFmtId="166" fontId="8" fillId="0" borderId="3" applyAlignment="1" pivotButton="0" quotePrefix="0" xfId="0">
      <alignment horizontal="right" vertical="center"/>
    </xf>
    <xf numFmtId="166" fontId="8" fillId="5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right" vertical="center"/>
    </xf>
    <xf numFmtId="0" fontId="8" fillId="2" borderId="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8" fillId="0" borderId="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/>
    </xf>
    <xf numFmtId="49" fontId="8" fillId="0" borderId="5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170" fontId="8" fillId="0" borderId="5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170" fontId="3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9" applyAlignment="1" pivotButton="0" quotePrefix="0" xfId="0">
      <alignment horizontal="center" vertical="center"/>
    </xf>
    <xf numFmtId="0" fontId="25" fillId="0" borderId="7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horizontal="center" vertical="center" wrapText="1"/>
    </xf>
    <xf numFmtId="167" fontId="20" fillId="0" borderId="1" applyAlignment="1" pivotButton="0" quotePrefix="0" xfId="0">
      <alignment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49" fontId="8" fillId="0" borderId="3" applyAlignment="1" pivotButton="0" quotePrefix="0" xfId="0">
      <alignment horizontal="center"/>
    </xf>
    <xf numFmtId="164" fontId="8" fillId="0" borderId="3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165" fontId="8" fillId="0" borderId="3" applyAlignment="1" pivotButton="0" quotePrefix="0" xfId="0">
      <alignment horizontal="center"/>
    </xf>
    <xf numFmtId="166" fontId="8" fillId="0" borderId="3" applyAlignment="1" pivotButton="0" quotePrefix="0" xfId="0">
      <alignment horizontal="right"/>
    </xf>
    <xf numFmtId="166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right"/>
    </xf>
    <xf numFmtId="0" fontId="8" fillId="0" borderId="8" applyAlignment="1" pivotButton="0" quotePrefix="0" xfId="0">
      <alignment horizontal="center"/>
    </xf>
    <xf numFmtId="0" fontId="5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167" fontId="1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9" pivotButton="0" quotePrefix="0" xfId="0"/>
    <xf numFmtId="0" fontId="0" fillId="0" borderId="7" pivotButton="0" quotePrefix="0" xfId="0"/>
    <xf numFmtId="167" fontId="2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167" fontId="20" fillId="6" borderId="1" applyAlignment="1" pivotButton="0" quotePrefix="0" xfId="0">
      <alignment horizontal="center" vertical="center" wrapText="1"/>
    </xf>
    <xf numFmtId="167" fontId="22" fillId="0" borderId="1" applyAlignment="1" pivotButton="0" quotePrefix="0" xfId="0">
      <alignment horizontal="center" vertical="center" wrapText="1"/>
    </xf>
    <xf numFmtId="169" fontId="22" fillId="0" borderId="1" applyAlignment="1" pivotButton="0" quotePrefix="0" xfId="0">
      <alignment horizontal="center" vertical="center" wrapText="1"/>
    </xf>
    <xf numFmtId="169" fontId="23" fillId="0" borderId="1" applyAlignment="1" pivotButton="0" quotePrefix="0" xfId="0">
      <alignment horizontal="center" vertical="center"/>
    </xf>
    <xf numFmtId="167" fontId="22" fillId="0" borderId="14" applyAlignment="1" pivotButton="0" quotePrefix="0" xfId="0">
      <alignment horizontal="center" vertical="center" wrapText="1"/>
    </xf>
    <xf numFmtId="164" fontId="7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165" fontId="32" fillId="0" borderId="14" applyAlignment="1" pivotButton="0" quotePrefix="0" xfId="0">
      <alignment horizontal="left" vertical="center" wrapText="1"/>
    </xf>
    <xf numFmtId="166" fontId="22" fillId="0" borderId="1" applyAlignment="1" pivotButton="0" quotePrefix="0" xfId="0">
      <alignment horizontal="center" vertical="center" wrapText="1"/>
    </xf>
    <xf numFmtId="172" fontId="23" fillId="0" borderId="14" applyAlignment="1" pivotButton="0" quotePrefix="0" xfId="0">
      <alignment horizontal="center" vertical="center" wrapText="1"/>
    </xf>
    <xf numFmtId="164" fontId="23" fillId="0" borderId="1" applyAlignment="1" pivotButton="0" quotePrefix="0" xfId="0">
      <alignment horizontal="center" vertical="center" wrapText="1"/>
    </xf>
    <xf numFmtId="164" fontId="23" fillId="0" borderId="14" applyAlignment="1" pivotButton="0" quotePrefix="0" xfId="0">
      <alignment horizontal="center" vertical="center" wrapText="1"/>
    </xf>
    <xf numFmtId="169" fontId="25" fillId="0" borderId="5" applyAlignment="1" pivotButton="0" quotePrefix="0" xfId="0">
      <alignment horizontal="center" vertical="center"/>
    </xf>
    <xf numFmtId="167" fontId="25" fillId="0" borderId="5" applyAlignment="1" pivotButton="0" quotePrefix="0" xfId="0">
      <alignment horizontal="center" vertical="center"/>
    </xf>
    <xf numFmtId="167" fontId="25" fillId="0" borderId="14" applyAlignment="1" pivotButton="0" quotePrefix="0" xfId="0">
      <alignment horizontal="center" vertical="center"/>
    </xf>
    <xf numFmtId="164" fontId="14" fillId="0" borderId="14" applyAlignment="1" pivotButton="0" quotePrefix="0" xfId="0">
      <alignment horizontal="center" vertical="center" wrapText="1"/>
    </xf>
    <xf numFmtId="167" fontId="23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 wrapText="1"/>
    </xf>
    <xf numFmtId="165" fontId="32" fillId="0" borderId="13" applyAlignment="1" pivotButton="0" quotePrefix="0" xfId="0">
      <alignment horizontal="left" vertical="center"/>
    </xf>
  </cellXfs>
  <cellStyles count="1">
    <cellStyle name="常规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tc={CE01A1B9-1B20-4AAD-8085-9602F73D1194}</author>
    <author>石萌</author>
  </authors>
  <commentList>
    <comment ref="H2" authorId="0" shapeId="0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“动手干活”的钱 </t>
      </text>
    </comment>
    <comment ref="L2" authorId="1" shapeId="0">
      <text>
        <t>石萌:
 “动脑设计、管理”的钱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3">
    <tabColor theme="9" tint="0.5999938962981048"/>
    <outlinePr summaryBelow="0" summaryRight="0"/>
    <pageSetUpPr/>
  </sheetPr>
  <dimension ref="A1:AP210"/>
  <sheetViews>
    <sheetView tabSelected="1" zoomScaleNormal="100" workbookViewId="0">
      <pane xSplit="7" ySplit="3" topLeftCell="H4" activePane="bottomRight" state="frozen"/>
      <selection activeCell="A1" sqref="A1:R1"/>
      <selection pane="topRight" activeCell="A1" sqref="A1:R1"/>
      <selection pane="bottomLeft" activeCell="A1" sqref="A1:R1"/>
      <selection pane="bottomRight" activeCell="I9" sqref="I9"/>
    </sheetView>
  </sheetViews>
  <sheetFormatPr baseColWidth="8" defaultColWidth="9" defaultRowHeight="22.5" customHeight="1" outlineLevelRow="1"/>
  <cols>
    <col width="5.6640625" customWidth="1" style="65" min="1" max="1"/>
    <col width="5.44140625" customWidth="1" style="91" min="2" max="2"/>
    <col width="22" customWidth="1" style="65" min="3" max="3"/>
    <col hidden="1" width="5.5546875" customWidth="1" style="65" min="4" max="4"/>
    <col width="10.21875" customWidth="1" style="65" min="5" max="5"/>
    <col width="8.109375" customWidth="1" style="77" min="6" max="6"/>
    <col width="5.21875" customWidth="1" style="65" min="7" max="7"/>
    <col width="9.88671875" customWidth="1" style="65" min="8" max="8"/>
    <col width="9.21875" customWidth="1" style="78" min="9" max="9"/>
    <col width="12.6640625" customWidth="1" style="65" min="10" max="10"/>
    <col outlineLevel="1" width="11.5546875" customWidth="1" style="296" min="11" max="11"/>
    <col width="13.21875" customWidth="1" style="296" min="12" max="12"/>
    <col outlineLevel="1" width="13.21875" customWidth="1" style="296" min="13" max="13"/>
    <col width="10.44140625" customWidth="1" style="296" min="14" max="14"/>
    <col width="9.88671875" customWidth="1" style="65" min="15" max="15"/>
    <col width="21.21875" customWidth="1" style="104" min="16" max="16"/>
    <col width="4.88671875" customWidth="1" style="104" min="17" max="17"/>
    <col width="8.6640625" customWidth="1" style="99" min="18" max="18"/>
    <col outlineLevel="2" width="33.33203125" customWidth="1" style="105" min="19" max="19"/>
    <col outlineLevel="1" width="9.88671875" customWidth="1" style="65" min="20" max="20"/>
    <col outlineLevel="2" width="22.33203125" customWidth="1" style="105" min="21" max="21"/>
    <col outlineLevel="1" width="14.109375" customWidth="1" style="65" min="22" max="22"/>
    <col outlineLevel="2" width="18.5546875" customWidth="1" style="105" min="23" max="23"/>
    <col outlineLevel="1" width="13.21875" customWidth="1" style="296" min="24" max="24"/>
    <col outlineLevel="2" width="18.5546875" customWidth="1" style="105" min="25" max="25"/>
    <col outlineLevel="1" width="9" customWidth="1" style="95" min="26" max="26"/>
    <col outlineLevel="2" width="9" customWidth="1" style="95" min="27" max="28"/>
    <col outlineLevel="2" width="8.6640625" customWidth="1" style="99" min="29" max="29"/>
    <col outlineLevel="2" width="9.6640625" customWidth="1" style="99" min="30" max="31"/>
    <col outlineLevel="1" width="9" customWidth="1" style="99" min="32" max="32"/>
    <col outlineLevel="2" width="5.109375" customWidth="1" style="99" min="33" max="33"/>
    <col outlineLevel="2" width="6.88671875" customWidth="1" style="99" min="34" max="34"/>
    <col outlineLevel="2" width="17.5546875" customWidth="1" style="99" min="35" max="37"/>
    <col outlineLevel="1" width="8.6640625" customWidth="1" style="99" min="38" max="38"/>
    <col outlineLevel="2" width="9.6640625" customWidth="1" style="99" min="39" max="41"/>
    <col outlineLevel="2" width="19.6640625" customWidth="1" style="99" min="42" max="42"/>
    <col outlineLevel="1" width="9" customWidth="1" style="65" min="43" max="43"/>
    <col width="9" customWidth="1" style="65" min="44" max="16384"/>
  </cols>
  <sheetData>
    <row r="1" ht="36" customHeight="1" s="297">
      <c r="A1" s="178" t="inlineStr">
        <is>
          <t>附表2油气长输管道通用工程测量费用测算表</t>
        </is>
      </c>
      <c r="B1" s="178" t="n"/>
      <c r="C1" s="178" t="n"/>
      <c r="D1" s="178" t="n"/>
      <c r="E1" s="178" t="n"/>
      <c r="F1" s="178" t="n"/>
      <c r="G1" s="178" t="n"/>
      <c r="H1" s="178" t="n"/>
      <c r="I1" s="178" t="n"/>
      <c r="J1" s="178" t="n"/>
      <c r="K1" s="178" t="n"/>
      <c r="L1" s="178" t="n"/>
      <c r="M1" s="178" t="n"/>
      <c r="N1" s="178" t="n"/>
      <c r="O1" s="179" t="n"/>
      <c r="P1" s="179" t="n"/>
      <c r="Q1" s="93" t="n"/>
      <c r="T1" s="93" t="n"/>
      <c r="V1" s="105" t="n"/>
      <c r="X1" s="105" t="n"/>
    </row>
    <row r="2" ht="22.5" customFormat="1" customHeight="1" s="80">
      <c r="A2" s="269" t="inlineStr">
        <is>
          <t>序号</t>
        </is>
      </c>
      <c r="B2" s="269" t="inlineStr">
        <is>
          <t>工作任务</t>
        </is>
      </c>
      <c r="C2" s="298" t="n"/>
      <c r="D2" s="298" t="n"/>
      <c r="E2" s="298" t="n"/>
      <c r="F2" s="298" t="n"/>
      <c r="G2" s="299" t="n"/>
      <c r="H2" s="269" t="inlineStr">
        <is>
          <t>工程勘察实物工作费（元）</t>
        </is>
      </c>
      <c r="I2" s="298" t="n"/>
      <c r="J2" s="298" t="n"/>
      <c r="K2" s="299" t="n"/>
      <c r="L2" s="300" t="inlineStr">
        <is>
          <t>工程勘察技术工作费（元）</t>
        </is>
      </c>
      <c r="M2" s="299" t="n"/>
      <c r="N2" s="300" t="inlineStr">
        <is>
          <t>金额合计（元）</t>
        </is>
      </c>
      <c r="O2" s="269" t="inlineStr">
        <is>
          <t>收费标准里对应条款</t>
        </is>
      </c>
      <c r="P2" s="269" t="inlineStr">
        <is>
          <t>备注</t>
        </is>
      </c>
      <c r="Q2" s="94" t="n"/>
      <c r="R2" s="151" t="n"/>
      <c r="S2" s="153" t="n"/>
      <c r="T2" s="109" t="n"/>
      <c r="U2" s="109" t="n"/>
      <c r="V2" s="109" t="n"/>
      <c r="W2" s="109" t="n"/>
      <c r="X2" s="109" t="n"/>
      <c r="Y2" s="109" t="n"/>
      <c r="Z2" s="131" t="n"/>
      <c r="AA2" s="131" t="n"/>
      <c r="AB2" s="131" t="n"/>
      <c r="AC2" s="137" t="n"/>
      <c r="AD2" s="137" t="n"/>
      <c r="AE2" s="137" t="n"/>
      <c r="AF2" s="129" t="n"/>
      <c r="AG2" s="137" t="n"/>
      <c r="AH2" s="137" t="n"/>
      <c r="AI2" s="137" t="n"/>
      <c r="AJ2" s="137" t="n"/>
      <c r="AK2" s="137" t="n"/>
      <c r="AL2" s="150" t="n"/>
      <c r="AM2" s="137" t="n"/>
      <c r="AN2" s="137" t="n"/>
      <c r="AO2" s="137" t="n"/>
      <c r="AP2" s="137" t="n"/>
    </row>
    <row r="3" ht="36" customFormat="1" customHeight="1" s="80">
      <c r="A3" s="301" t="n"/>
      <c r="B3" s="269" t="inlineStr">
        <is>
          <t>项目</t>
        </is>
      </c>
      <c r="C3" s="269" t="inlineStr">
        <is>
          <t>内容</t>
        </is>
      </c>
      <c r="D3" s="269" t="inlineStr">
        <is>
          <t>(空)</t>
        </is>
      </c>
      <c r="E3" s="269" t="inlineStr">
        <is>
          <t>类别</t>
        </is>
      </c>
      <c r="F3" s="68" t="inlineStr">
        <is>
          <t>比例尺</t>
        </is>
      </c>
      <c r="G3" s="269" t="inlineStr">
        <is>
          <t>单位</t>
        </is>
      </c>
      <c r="H3" s="173" t="inlineStr">
        <is>
          <t>基价（元）</t>
        </is>
      </c>
      <c r="I3" s="175" t="inlineStr">
        <is>
          <t>工程量合计</t>
        </is>
      </c>
      <c r="J3" s="173" t="inlineStr">
        <is>
          <t>实物工作费调整系数</t>
        </is>
      </c>
      <c r="K3" s="300" t="inlineStr">
        <is>
          <t>小计</t>
        </is>
      </c>
      <c r="L3" s="173" t="inlineStr">
        <is>
          <t>技术工作费调整系数</t>
        </is>
      </c>
      <c r="M3" s="269" t="inlineStr">
        <is>
          <t>小计</t>
        </is>
      </c>
      <c r="N3" s="301" t="n"/>
      <c r="O3" s="301" t="n"/>
      <c r="P3" s="301" t="n"/>
      <c r="Q3" s="94" t="n">
        <v>0</v>
      </c>
      <c r="R3" s="151" t="inlineStr">
        <is>
          <t>预警参数</t>
        </is>
      </c>
      <c r="S3" s="153" t="inlineStr">
        <is>
          <t>预警细节</t>
        </is>
      </c>
      <c r="T3" s="109" t="inlineStr">
        <is>
          <t>【经验数】单价</t>
        </is>
      </c>
      <c r="U3" s="109" t="inlineStr">
        <is>
          <t>【DWB批注】价格or总体</t>
        </is>
      </c>
      <c r="V3" s="109" t="inlineStr">
        <is>
          <t>【经验数】实物工作费调整系数</t>
        </is>
      </c>
      <c r="W3" s="109" t="inlineStr">
        <is>
          <t>【DWB批注】-实物工作费调整系数</t>
        </is>
      </c>
      <c r="X3" s="109" t="inlineStr">
        <is>
          <t>【经验数】技术工作费调整系数</t>
        </is>
      </c>
      <c r="Y3" s="109" t="inlineStr">
        <is>
          <t>【DWB批注】-技术工作费调整系数</t>
        </is>
      </c>
      <c r="Z3" s="127" t="inlineStr">
        <is>
          <t>差值校验</t>
        </is>
      </c>
      <c r="AA3" s="131" t="n"/>
      <c r="AB3" s="131" t="n"/>
      <c r="AC3" s="137" t="n"/>
      <c r="AD3" s="137" t="n"/>
      <c r="AE3" s="137" t="n"/>
      <c r="AF3" s="129" t="inlineStr">
        <is>
          <t>匹配报告预留位置</t>
        </is>
      </c>
      <c r="AG3" s="137" t="n"/>
      <c r="AH3" s="137" t="n"/>
      <c r="AI3" s="137" t="n"/>
      <c r="AJ3" s="137" t="n"/>
      <c r="AK3" s="137" t="n"/>
      <c r="AL3" s="150" t="inlineStr">
        <is>
          <t>委托方信息抓取</t>
        </is>
      </c>
      <c r="AM3" s="150" t="n"/>
      <c r="AN3" s="150" t="n"/>
      <c r="AO3" s="150" t="n"/>
      <c r="AP3" s="150" t="n"/>
    </row>
    <row r="4" outlineLevel="1" ht="48" customFormat="1" customHeight="1" s="81">
      <c r="A4" s="69" t="inlineStr">
        <is>
          <t>映射行</t>
        </is>
      </c>
      <c r="B4" s="69" t="inlineStr">
        <is>
          <t>要素1</t>
        </is>
      </c>
      <c r="C4" s="69" t="inlineStr">
        <is>
          <t>要素2</t>
        </is>
      </c>
      <c r="D4" s="69" t="inlineStr">
        <is>
          <t>要素3</t>
        </is>
      </c>
      <c r="E4" s="69" t="inlineStr">
        <is>
          <t>要素4</t>
        </is>
      </c>
      <c r="F4" s="70" t="inlineStr">
        <is>
          <t>要素5</t>
        </is>
      </c>
      <c r="G4" s="69" t="inlineStr">
        <is>
          <t>单位</t>
        </is>
      </c>
      <c r="H4" s="69" t="inlineStr">
        <is>
          <t>单价匹配-测试</t>
        </is>
      </c>
      <c r="I4" s="69" t="inlineStr">
        <is>
          <t>数量</t>
        </is>
      </c>
      <c r="J4" s="69" t="inlineStr">
        <is>
          <t>实物工作费调整系数-测试</t>
        </is>
      </c>
      <c r="K4" s="69" t="n"/>
      <c r="L4" s="69" t="inlineStr">
        <is>
          <t>技术工作费调整系数-测试</t>
        </is>
      </c>
      <c r="M4" s="69" t="n"/>
      <c r="N4" s="302" t="n"/>
      <c r="O4" s="69" t="n"/>
      <c r="P4" s="69" t="n"/>
      <c r="Q4" s="124" t="n"/>
      <c r="R4" s="151" t="inlineStr">
        <is>
          <t>预警参数</t>
        </is>
      </c>
      <c r="S4" s="153" t="inlineStr">
        <is>
          <t>预警细节</t>
        </is>
      </c>
      <c r="T4" s="126" t="inlineStr">
        <is>
          <t>(不要被管勘智算脚本识别)</t>
        </is>
      </c>
      <c r="U4" s="126" t="inlineStr">
        <is>
          <t>(不要被管勘智算脚本识别)</t>
        </is>
      </c>
      <c r="V4" s="126" t="inlineStr">
        <is>
          <t>(不要被管勘智算脚本识别)</t>
        </is>
      </c>
      <c r="W4" s="126" t="inlineStr">
        <is>
          <t>(不要被管勘智算脚本识别)</t>
        </is>
      </c>
      <c r="X4" s="126" t="inlineStr">
        <is>
          <t>(不要被管勘智算脚本识别)</t>
        </is>
      </c>
      <c r="Y4" s="126" t="inlineStr">
        <is>
          <t>(不要被管勘智算脚本识别)</t>
        </is>
      </c>
      <c r="Z4" s="127" t="inlineStr">
        <is>
          <t>差值校验</t>
        </is>
      </c>
      <c r="AA4" s="127" t="inlineStr">
        <is>
          <t>差值校验</t>
        </is>
      </c>
      <c r="AB4" s="127" t="inlineStr">
        <is>
          <t>差值校验</t>
        </is>
      </c>
      <c r="AC4" s="138" t="inlineStr">
        <is>
          <t>单价111匹配-测试</t>
        </is>
      </c>
      <c r="AD4" s="138" t="inlineStr">
        <is>
          <t>实物111工作费调整系数-测试</t>
        </is>
      </c>
      <c r="AE4" s="138" t="inlineStr">
        <is>
          <t>技术111工作费调整系数-测试</t>
        </is>
      </c>
      <c r="AF4" s="129" t="inlineStr">
        <is>
          <t>匹配报告预留位置</t>
        </is>
      </c>
      <c r="AG4" s="129" t="inlineStr">
        <is>
          <t>匹配状态</t>
        </is>
      </c>
      <c r="AH4" s="129" t="inlineStr">
        <is>
          <t>候选数量</t>
        </is>
      </c>
      <c r="AI4" s="129" t="inlineStr">
        <is>
          <t>匹配说明</t>
        </is>
      </c>
      <c r="AJ4" s="129" t="inlineStr">
        <is>
          <t>匹配说明-实物工作费调整系数</t>
        </is>
      </c>
      <c r="AK4" s="129" t="inlineStr">
        <is>
          <t>匹配说明-技术工作费调整系数</t>
        </is>
      </c>
      <c r="AL4" s="150" t="inlineStr">
        <is>
          <t>数量(信息抓取)</t>
        </is>
      </c>
      <c r="AM4" s="150" t="inlineStr">
        <is>
          <t>实物工作费调整系数(信息抓取)</t>
        </is>
      </c>
      <c r="AN4" s="150" t="inlineStr">
        <is>
          <t>实物工作费调整系数(信息抓取)</t>
        </is>
      </c>
      <c r="AO4" s="150" t="inlineStr">
        <is>
          <t>委托方备注(信息抓取)</t>
        </is>
      </c>
      <c r="AP4" s="150" t="inlineStr">
        <is>
          <t>抓取日志</t>
        </is>
      </c>
    </row>
    <row r="5" ht="60" customFormat="1" customHeight="1" s="80">
      <c r="A5" s="72" t="n">
        <v>1</v>
      </c>
      <c r="B5" s="269" t="inlineStr">
        <is>
          <t>控制测量</t>
        </is>
      </c>
      <c r="C5" s="72" t="inlineStr">
        <is>
          <t>首级控制测量</t>
        </is>
      </c>
      <c r="D5" s="72" t="n"/>
      <c r="E5" s="72" t="inlineStr">
        <is>
          <t>GPS测量C级</t>
        </is>
      </c>
      <c r="F5" s="72" t="inlineStr">
        <is>
          <t>中等</t>
        </is>
      </c>
      <c r="G5" s="303" t="inlineStr">
        <is>
          <t>个</t>
        </is>
      </c>
      <c r="H5" s="72" t="n">
        <v>500000</v>
      </c>
      <c r="I5" s="72" t="n">
        <v>26</v>
      </c>
      <c r="J5" s="72" t="n"/>
      <c r="K5" s="304">
        <f>I5*J5*H5</f>
        <v/>
      </c>
      <c r="L5" s="303" t="n"/>
      <c r="M5" s="304">
        <f>K5*L5</f>
        <v/>
      </c>
      <c r="N5" s="305">
        <f>K5+M5</f>
        <v/>
      </c>
      <c r="O5" s="267" t="inlineStr">
        <is>
          <t>表2.2-2</t>
        </is>
      </c>
      <c r="P5" s="101" t="inlineStr">
        <is>
          <t>不造标系数0.6</t>
        </is>
      </c>
      <c r="Q5" s="114" t="n"/>
      <c r="R5" s="137" t="n"/>
      <c r="S5" s="111" t="n"/>
      <c r="T5" s="116">
        <f>IF(E5="GPS测量E级",VLOOKUP(F5,{"简单","2821";"中等","3203";"复杂","4123"},2,0))+IF(E5="GPS测量D级",VLOOKUP(F5,{"简单","3198";"中等","3632";"复杂","4671"},2,0))+IF(E5="GPS测量C级",VLOOKUP(F5,{"简单","3727";"中等","4274";"复杂","5500"},2,0))</f>
        <v/>
      </c>
      <c r="U5" s="111" t="inlineStr">
        <is>
          <t>来自2002《使用手册》表2.2-2，控制测量，GPS测量C级，中等复杂程度，4274元/点。</t>
        </is>
      </c>
      <c r="V5" s="116" t="n">
        <v>0.6</v>
      </c>
      <c r="W5" s="110" t="inlineStr">
        <is>
          <t>表2.2-3</t>
        </is>
      </c>
      <c r="X5" s="306" t="n">
        <v>0.22</v>
      </c>
      <c r="Y5" s="111" t="inlineStr">
        <is>
          <t>工程测量技术工作收费比例通常为`22%`。在《使用手册》第25页可以找到这一比例</t>
        </is>
      </c>
      <c r="Z5" s="307">
        <f>H5+AC5-T5</f>
        <v/>
      </c>
      <c r="AA5" s="307">
        <f>J5+AD5-V5</f>
        <v/>
      </c>
      <c r="AB5" s="307">
        <f>L5+AE5-X5</f>
        <v/>
      </c>
      <c r="AC5" s="137" t="n"/>
      <c r="AD5" s="137" t="n"/>
      <c r="AE5" s="137" t="n"/>
      <c r="AF5" s="137" t="n"/>
      <c r="AG5" s="137" t="n"/>
      <c r="AH5" s="137" t="n"/>
      <c r="AI5" s="137" t="n"/>
      <c r="AJ5" s="137" t="n"/>
      <c r="AK5" s="137" t="n"/>
      <c r="AL5" s="137" t="n"/>
      <c r="AM5" s="137" t="n"/>
      <c r="AN5" s="137" t="n"/>
      <c r="AO5" s="137" t="n"/>
      <c r="AP5" s="137" t="n"/>
    </row>
    <row r="6" ht="48" customFormat="1" customHeight="1" s="80">
      <c r="A6" s="72" t="n">
        <v>2</v>
      </c>
      <c r="B6" s="308" t="n"/>
      <c r="C6" s="72" t="inlineStr">
        <is>
          <t>首级控制测量</t>
        </is>
      </c>
      <c r="D6" s="72" t="n"/>
      <c r="E6" s="72" t="inlineStr">
        <is>
          <t>GPS测量E级</t>
        </is>
      </c>
      <c r="F6" s="72" t="inlineStr">
        <is>
          <t>中等</t>
        </is>
      </c>
      <c r="G6" s="303" t="inlineStr">
        <is>
          <t>个</t>
        </is>
      </c>
      <c r="H6" s="72" t="n"/>
      <c r="I6" s="72" t="n">
        <v>62</v>
      </c>
      <c r="J6" s="72" t="n"/>
      <c r="K6" s="304">
        <f>I6*J6*H6</f>
        <v/>
      </c>
      <c r="L6" s="303" t="n"/>
      <c r="M6" s="304">
        <f>K6*L6</f>
        <v/>
      </c>
      <c r="N6" s="305">
        <f>K6+M6</f>
        <v/>
      </c>
      <c r="O6" s="308" t="n"/>
      <c r="P6" s="101" t="inlineStr">
        <is>
          <t>不造标系数0.6</t>
        </is>
      </c>
      <c r="Q6" s="114" t="n"/>
      <c r="R6" s="137" t="n"/>
      <c r="S6" s="111" t="n"/>
      <c r="T6" s="116">
        <f>IF(E6="GPS测量E级",VLOOKUP(F6,{"简单","2821";"中等","3203";"复杂","4123"},2,0))+IF(E6="GPS测量D级",VLOOKUP(F6,{"简单","3198";"中等","3632";"复杂","4671"},2,0))+IF(E6="GPS测量C级",VLOOKUP(F6,{"简单","3727";"中等","4274";"复杂","5500"},2,0))</f>
        <v/>
      </c>
      <c r="U6" s="111" t="n"/>
      <c r="V6" s="116" t="n">
        <v>0.6</v>
      </c>
      <c r="W6" s="110" t="inlineStr">
        <is>
          <t>【系数】元素1为"控制测量","二、三、四等三角(边)不造标"，系数0.6</t>
        </is>
      </c>
      <c r="X6" s="306" t="n">
        <v>0.22</v>
      </c>
      <c r="Y6" s="110" t="inlineStr">
        <is>
          <t>【第一层】【系数】【默认】除了特殊说明的，所有行默认系数0.22</t>
        </is>
      </c>
      <c r="Z6" s="307">
        <f>H6+AC6-T6</f>
        <v/>
      </c>
      <c r="AA6" s="307">
        <f>J6+AD6-V6</f>
        <v/>
      </c>
      <c r="AB6" s="307">
        <f>L6+AE6-X6</f>
        <v/>
      </c>
      <c r="AC6" s="137" t="n"/>
      <c r="AD6" s="137" t="n"/>
      <c r="AE6" s="137" t="n"/>
      <c r="AF6" s="137" t="n"/>
      <c r="AG6" s="137" t="n"/>
      <c r="AH6" s="137" t="n"/>
      <c r="AI6" s="137" t="n"/>
      <c r="AJ6" s="137" t="n"/>
      <c r="AK6" s="137" t="n"/>
      <c r="AL6" s="137" t="n"/>
      <c r="AM6" s="137" t="n"/>
      <c r="AN6" s="137" t="n"/>
      <c r="AO6" s="137" t="n"/>
      <c r="AP6" s="137" t="n"/>
    </row>
    <row r="7" ht="22.5" customFormat="1" customHeight="1" s="80">
      <c r="A7" s="72" t="n">
        <v>3</v>
      </c>
      <c r="B7" s="308" t="n"/>
      <c r="C7" s="268" t="inlineStr">
        <is>
          <t>河流静态</t>
        </is>
      </c>
      <c r="D7" s="72" t="n"/>
      <c r="E7" s="72" t="inlineStr">
        <is>
          <t>GPS测量E级</t>
        </is>
      </c>
      <c r="F7" s="72" t="inlineStr">
        <is>
          <t>复杂</t>
        </is>
      </c>
      <c r="G7" s="303" t="inlineStr">
        <is>
          <t>点</t>
        </is>
      </c>
      <c r="H7" s="72" t="n"/>
      <c r="I7" s="72" t="n"/>
      <c r="J7" s="72" t="n"/>
      <c r="K7" s="304">
        <f>I7*J7*H7</f>
        <v/>
      </c>
      <c r="L7" s="303" t="n"/>
      <c r="M7" s="304">
        <f>K7*L7</f>
        <v/>
      </c>
      <c r="N7" s="305">
        <f>K7+M7</f>
        <v/>
      </c>
      <c r="O7" s="308" t="n"/>
      <c r="P7" s="101" t="n"/>
      <c r="Q7" s="114" t="n"/>
      <c r="R7" s="137" t="n"/>
      <c r="S7" s="111" t="n"/>
      <c r="T7" s="116">
        <f>IF(E7="GPS测量E级",VLOOKUP(F7,{"简单","2821";"中等","3203";"复杂","4123"},2,0))+IF(E7="GPS测量D级",VLOOKUP(F7,{"简单","3198";"中等","3632";"复杂","4671"},2,0))+IF(E7="GPS测量C级",VLOOKUP(F7,{"简单","3727";"中等","4274";"复杂","5500"},2,0))</f>
        <v/>
      </c>
      <c r="U7" s="111" t="n"/>
      <c r="V7" s="116" t="n">
        <v>0.6</v>
      </c>
      <c r="W7" s="111" t="n"/>
      <c r="X7" s="306" t="n">
        <v>0.22</v>
      </c>
      <c r="Y7" s="111" t="n"/>
      <c r="Z7" s="307">
        <f>H7+AC7-T7</f>
        <v/>
      </c>
      <c r="AA7" s="307">
        <f>J7+AD7-V7</f>
        <v/>
      </c>
      <c r="AB7" s="307">
        <f>L7+AE7-X7</f>
        <v/>
      </c>
      <c r="AC7" s="137" t="n"/>
      <c r="AD7" s="137" t="n"/>
      <c r="AE7" s="137" t="n"/>
      <c r="AF7" s="137" t="n"/>
      <c r="AG7" s="137" t="n"/>
      <c r="AH7" s="137" t="n"/>
      <c r="AI7" s="137" t="n"/>
      <c r="AJ7" s="137" t="n"/>
      <c r="AK7" s="137" t="n"/>
      <c r="AL7" s="137" t="n"/>
      <c r="AM7" s="137" t="n"/>
      <c r="AN7" s="137" t="n"/>
      <c r="AO7" s="137" t="n"/>
      <c r="AP7" s="137" t="n"/>
    </row>
    <row r="8" ht="22.5" customFormat="1" customHeight="1" s="80">
      <c r="A8" s="72" t="n">
        <v>4</v>
      </c>
      <c r="B8" s="308" t="n"/>
      <c r="C8" s="268" t="inlineStr">
        <is>
          <t>连片鱼塘静态</t>
        </is>
      </c>
      <c r="D8" s="72" t="n"/>
      <c r="E8" s="72" t="inlineStr">
        <is>
          <t>GPS测量E级</t>
        </is>
      </c>
      <c r="F8" s="72" t="inlineStr">
        <is>
          <t>复杂</t>
        </is>
      </c>
      <c r="G8" s="303" t="inlineStr">
        <is>
          <t>点</t>
        </is>
      </c>
      <c r="H8" s="72" t="n"/>
      <c r="I8" s="72" t="n"/>
      <c r="J8" s="72" t="n"/>
      <c r="K8" s="304">
        <f>I8*J8*H8</f>
        <v/>
      </c>
      <c r="L8" s="303" t="n"/>
      <c r="M8" s="304">
        <f>K8*L8</f>
        <v/>
      </c>
      <c r="N8" s="305">
        <f>K8+M8</f>
        <v/>
      </c>
      <c r="O8" s="308" t="n"/>
      <c r="P8" s="101" t="n"/>
      <c r="Q8" s="114" t="n"/>
      <c r="R8" s="137" t="n"/>
      <c r="S8" s="111" t="n"/>
      <c r="T8" s="116">
        <f>IF(E8="GPS测量E级",VLOOKUP(F8,{"简单","2821";"中等","3203";"复杂","4123"},2,0))+IF(E8="GPS测量D级",VLOOKUP(F8,{"简单","3198";"中等","3632";"复杂","4671"},2,0))+IF(E8="GPS测量C级",VLOOKUP(F8,{"简单","3727";"中等","4274";"复杂","5500"},2,0))</f>
        <v/>
      </c>
      <c r="U8" s="111" t="n"/>
      <c r="V8" s="116" t="n">
        <v>0.6</v>
      </c>
      <c r="W8" s="111" t="n"/>
      <c r="X8" s="306" t="n">
        <v>0.22</v>
      </c>
      <c r="Y8" s="111" t="n"/>
      <c r="Z8" s="307">
        <f>H8+AC8-T8</f>
        <v/>
      </c>
      <c r="AA8" s="307">
        <f>J8+AD8-V8</f>
        <v/>
      </c>
      <c r="AB8" s="307">
        <f>L8+AE8-X8</f>
        <v/>
      </c>
      <c r="AC8" s="137" t="n"/>
      <c r="AD8" s="137" t="n"/>
      <c r="AE8" s="137" t="n"/>
      <c r="AF8" s="137" t="n"/>
      <c r="AG8" s="137" t="n"/>
      <c r="AH8" s="137" t="n"/>
      <c r="AI8" s="137" t="n"/>
      <c r="AJ8" s="137" t="n"/>
      <c r="AK8" s="137" t="n"/>
      <c r="AL8" s="137" t="n"/>
      <c r="AM8" s="137" t="n"/>
      <c r="AN8" s="137" t="n"/>
      <c r="AO8" s="137" t="n"/>
      <c r="AP8" s="137" t="n"/>
    </row>
    <row r="9" ht="22.5" customFormat="1" customHeight="1" s="80">
      <c r="A9" s="72" t="n">
        <v>5</v>
      </c>
      <c r="B9" s="308" t="n"/>
      <c r="C9" s="72" t="inlineStr">
        <is>
          <t>山岭隧道静态</t>
        </is>
      </c>
      <c r="D9" s="72" t="n"/>
      <c r="E9" s="72" t="inlineStr">
        <is>
          <t>GPS测量E级</t>
        </is>
      </c>
      <c r="F9" s="72" t="inlineStr">
        <is>
          <t>复杂</t>
        </is>
      </c>
      <c r="G9" s="303" t="inlineStr">
        <is>
          <t>点</t>
        </is>
      </c>
      <c r="H9" s="72" t="n"/>
      <c r="I9" s="72" t="n"/>
      <c r="J9" s="72" t="n"/>
      <c r="K9" s="304">
        <f>I9*J9*H9</f>
        <v/>
      </c>
      <c r="L9" s="303" t="n"/>
      <c r="M9" s="304">
        <f>K9*L9</f>
        <v/>
      </c>
      <c r="N9" s="305">
        <f>K9+M9</f>
        <v/>
      </c>
      <c r="O9" s="308" t="n"/>
      <c r="P9" s="101" t="n"/>
      <c r="Q9" s="114" t="n"/>
      <c r="R9" s="137" t="n"/>
      <c r="S9" s="111" t="n"/>
      <c r="T9" s="116">
        <f>IF(E9="GPS测量E级",VLOOKUP(F9,{"简单","2821";"中等","3203";"复杂","4123"},2,0))+IF(E9="GPS测量D级",VLOOKUP(F9,{"简单","3198";"中等","3632";"复杂","4671"},2,0))+IF(E9="GPS测量C级",VLOOKUP(F9,{"简单","3727";"中等","4274";"复杂","5500"},2,0))</f>
        <v/>
      </c>
      <c r="U9" s="111" t="n"/>
      <c r="V9" s="116" t="n">
        <v>0.6</v>
      </c>
      <c r="W9" s="111" t="n"/>
      <c r="X9" s="306" t="n">
        <v>0.22</v>
      </c>
      <c r="Y9" s="111" t="n"/>
      <c r="Z9" s="307">
        <f>H9+AC9-T9</f>
        <v/>
      </c>
      <c r="AA9" s="307">
        <f>J9+AD9-V9</f>
        <v/>
      </c>
      <c r="AB9" s="307">
        <f>L9+AE9-X9</f>
        <v/>
      </c>
      <c r="AC9" s="137" t="n"/>
      <c r="AD9" s="137" t="n"/>
      <c r="AE9" s="137" t="n"/>
      <c r="AF9" s="137" t="n"/>
      <c r="AG9" s="137" t="n"/>
      <c r="AH9" s="137" t="n"/>
      <c r="AI9" s="137" t="n"/>
      <c r="AJ9" s="137" t="n"/>
      <c r="AK9" s="137" t="n"/>
      <c r="AL9" s="137" t="n"/>
      <c r="AM9" s="137" t="n"/>
      <c r="AN9" s="137" t="n"/>
      <c r="AO9" s="137" t="n"/>
      <c r="AP9" s="137" t="n"/>
    </row>
    <row r="10" ht="22.5" customFormat="1" customHeight="1" s="80">
      <c r="A10" s="72" t="n">
        <v>6</v>
      </c>
      <c r="B10" s="308" t="n"/>
      <c r="C10" s="72" t="inlineStr">
        <is>
          <t>山体定向钻静态</t>
        </is>
      </c>
      <c r="D10" s="72" t="n"/>
      <c r="E10" s="72" t="inlineStr">
        <is>
          <t>GPS测量E级</t>
        </is>
      </c>
      <c r="F10" s="72" t="inlineStr">
        <is>
          <t>复杂</t>
        </is>
      </c>
      <c r="G10" s="303" t="inlineStr">
        <is>
          <t>点</t>
        </is>
      </c>
      <c r="H10" s="72" t="n"/>
      <c r="I10" s="72" t="n"/>
      <c r="J10" s="72" t="n"/>
      <c r="K10" s="304">
        <f>I10*J10*H10</f>
        <v/>
      </c>
      <c r="L10" s="303" t="n"/>
      <c r="M10" s="304">
        <f>K10*L10</f>
        <v/>
      </c>
      <c r="N10" s="305">
        <f>K10+M10</f>
        <v/>
      </c>
      <c r="O10" s="308" t="n"/>
      <c r="P10" s="101" t="n"/>
      <c r="Q10" s="114" t="n"/>
      <c r="R10" s="137" t="n"/>
      <c r="S10" s="111" t="n"/>
      <c r="T10" s="116">
        <f>IF(E10="GPS测量E级",VLOOKUP(F10,{"简单","2821";"中等","3203";"复杂","4123"},2,0))+IF(E10="GPS测量D级",VLOOKUP(F10,{"简单","3198";"中等","3632";"复杂","4671"},2,0))+IF(E10="GPS测量C级",VLOOKUP(F10,{"简单","3727";"中等","4274";"复杂","5500"},2,0))</f>
        <v/>
      </c>
      <c r="U10" s="111" t="n"/>
      <c r="V10" s="116" t="n">
        <v>0.6</v>
      </c>
      <c r="W10" s="111" t="n"/>
      <c r="X10" s="306" t="n">
        <v>0.22</v>
      </c>
      <c r="Y10" s="111" t="n"/>
      <c r="Z10" s="307">
        <f>H10+AC10-T10</f>
        <v/>
      </c>
      <c r="AA10" s="307">
        <f>J10+AD10-V10</f>
        <v/>
      </c>
      <c r="AB10" s="307">
        <f>L10+AE10-X10</f>
        <v/>
      </c>
      <c r="AC10" s="137" t="n"/>
      <c r="AD10" s="137" t="n"/>
      <c r="AE10" s="137" t="n"/>
      <c r="AF10" s="137" t="n"/>
      <c r="AG10" s="137" t="n"/>
      <c r="AH10" s="137" t="n"/>
      <c r="AI10" s="137" t="n"/>
      <c r="AJ10" s="137" t="n"/>
      <c r="AK10" s="137" t="n"/>
      <c r="AL10" s="137" t="n"/>
      <c r="AM10" s="137" t="n"/>
      <c r="AN10" s="137" t="n"/>
      <c r="AO10" s="137" t="n"/>
      <c r="AP10" s="137" t="n"/>
    </row>
    <row r="11" ht="22.5" customFormat="1" customHeight="1" s="80">
      <c r="A11" s="72" t="n">
        <v>7</v>
      </c>
      <c r="B11" s="308" t="n"/>
      <c r="C11" s="72" t="inlineStr">
        <is>
          <t>站场静态</t>
        </is>
      </c>
      <c r="D11" s="72" t="n"/>
      <c r="E11" s="72" t="inlineStr">
        <is>
          <t>GPS测量E级</t>
        </is>
      </c>
      <c r="F11" s="72" t="inlineStr">
        <is>
          <t>中等</t>
        </is>
      </c>
      <c r="G11" s="303" t="inlineStr">
        <is>
          <t>点</t>
        </is>
      </c>
      <c r="H11" s="72" t="n"/>
      <c r="I11" s="72" t="n"/>
      <c r="J11" s="72" t="n"/>
      <c r="K11" s="304">
        <f>I11*J11*H11</f>
        <v/>
      </c>
      <c r="L11" s="303" t="n"/>
      <c r="M11" s="304">
        <f>K11*L11</f>
        <v/>
      </c>
      <c r="N11" s="305">
        <f>K11+M11</f>
        <v/>
      </c>
      <c r="O11" s="308" t="n"/>
      <c r="P11" s="101" t="n"/>
      <c r="Q11" s="114" t="n"/>
      <c r="R11" s="137" t="n"/>
      <c r="S11" s="111" t="n"/>
      <c r="T11" s="116">
        <f>IF(E11="GPS测量E级",VLOOKUP(F11,{"简单","2821";"中等","3203";"复杂","4123"},2,0))+IF(E11="GPS测量D级",VLOOKUP(F11,{"简单","3198";"中等","3632";"复杂","4671"},2,0))+IF(E11="GPS测量C级",VLOOKUP(F11,{"简单","3727";"中等","4274";"复杂","5500"},2,0))</f>
        <v/>
      </c>
      <c r="U11" s="111" t="n"/>
      <c r="V11" s="116" t="n">
        <v>0.6</v>
      </c>
      <c r="W11" s="111" t="n"/>
      <c r="X11" s="306" t="n">
        <v>0.22</v>
      </c>
      <c r="Y11" s="111" t="n"/>
      <c r="Z11" s="307">
        <f>H11+AC11-T11</f>
        <v/>
      </c>
      <c r="AA11" s="307">
        <f>J11+AD11-V11</f>
        <v/>
      </c>
      <c r="AB11" s="307">
        <f>L11+AE11-X11</f>
        <v/>
      </c>
      <c r="AC11" s="137" t="n"/>
      <c r="AD11" s="137" t="n"/>
      <c r="AE11" s="137" t="n"/>
      <c r="AF11" s="137" t="n"/>
      <c r="AG11" s="137" t="n"/>
      <c r="AH11" s="137" t="n"/>
      <c r="AI11" s="137" t="n"/>
      <c r="AJ11" s="137" t="n"/>
      <c r="AK11" s="137" t="n"/>
      <c r="AL11" s="137" t="n"/>
      <c r="AM11" s="137" t="n"/>
      <c r="AN11" s="137" t="n"/>
      <c r="AO11" s="137" t="n"/>
      <c r="AP11" s="137" t="n"/>
    </row>
    <row r="12" ht="48" customFormat="1" customHeight="1" s="80">
      <c r="A12" s="72" t="n">
        <v>8</v>
      </c>
      <c r="B12" s="308" t="n"/>
      <c r="C12" s="72" t="inlineStr">
        <is>
          <t>阀室RTK</t>
        </is>
      </c>
      <c r="D12" s="72" t="n"/>
      <c r="E12" s="72" t="inlineStr">
        <is>
          <t>三角（边）一级</t>
        </is>
      </c>
      <c r="F12" s="72" t="inlineStr">
        <is>
          <t>中等</t>
        </is>
      </c>
      <c r="G12" s="303" t="inlineStr">
        <is>
          <t>点</t>
        </is>
      </c>
      <c r="H12" s="72" t="n"/>
      <c r="I12" s="72" t="n"/>
      <c r="J12" s="72" t="n"/>
      <c r="K12" s="304">
        <f>I12*J12*H12</f>
        <v/>
      </c>
      <c r="L12" s="303" t="n"/>
      <c r="M12" s="304">
        <f>K12*L12</f>
        <v/>
      </c>
      <c r="N12" s="305">
        <f>K12+M12</f>
        <v/>
      </c>
      <c r="O12" s="308" t="n"/>
      <c r="P12" s="101" t="n"/>
      <c r="Q12" s="114" t="n"/>
      <c r="R12" s="137" t="n"/>
      <c r="S12" s="111" t="n"/>
      <c r="T12" s="116">
        <f>IF(E12="GPS测量E级",VLOOKUP(F12,{"简单","2821";"中等","3203";"复杂","4123"},2,0))+IF(E12="GPS测量D级",VLOOKUP(F12,{"简单","3198";"中等","3632";"复杂","4671"},2,0))+IF(E12="GPS测量C级",VLOOKUP(F12,{"简单","3727";"中等","4274";"复杂","5500"},2,0))+IF(E12="三角（边）一级",VLOOKUP(F12,{"简单","1096";"中等","1244";"复杂","1602"},2,0))</f>
        <v/>
      </c>
      <c r="U12" s="111" t="n"/>
      <c r="V12" s="116" t="n">
        <v>0.6</v>
      </c>
      <c r="W12" s="111" t="inlineStr">
        <is>
          <t>注意：没有直接写“三角（边）一级不造标0.6”，应作为样表经验规则</t>
        </is>
      </c>
      <c r="X12" s="306" t="n">
        <v>0.22</v>
      </c>
      <c r="Y12" s="111" t="n"/>
      <c r="Z12" s="307">
        <f>H12+AC12-T12</f>
        <v/>
      </c>
      <c r="AA12" s="307">
        <f>J12+AD12-V12</f>
        <v/>
      </c>
      <c r="AB12" s="307">
        <f>L12+AE12-X12</f>
        <v/>
      </c>
      <c r="AC12" s="137" t="n"/>
      <c r="AD12" s="137" t="n"/>
      <c r="AE12" s="137" t="n"/>
      <c r="AF12" s="137" t="n"/>
      <c r="AG12" s="137" t="n"/>
      <c r="AH12" s="137" t="n"/>
      <c r="AI12" s="137" t="n"/>
      <c r="AJ12" s="137" t="n"/>
      <c r="AK12" s="137" t="n"/>
      <c r="AL12" s="137" t="n"/>
      <c r="AM12" s="137" t="n"/>
      <c r="AN12" s="137" t="n"/>
      <c r="AO12" s="137" t="n"/>
      <c r="AP12" s="137" t="n"/>
    </row>
    <row r="13" ht="48" customFormat="1" customHeight="1" s="80">
      <c r="A13" s="72" t="n">
        <v>9</v>
      </c>
      <c r="B13" s="308" t="n"/>
      <c r="C13" s="72" t="inlineStr">
        <is>
          <t>渣场RTK</t>
        </is>
      </c>
      <c r="D13" s="72" t="n"/>
      <c r="E13" s="72" t="inlineStr">
        <is>
          <t>三角（边）一级</t>
        </is>
      </c>
      <c r="F13" s="72" t="inlineStr">
        <is>
          <t>复杂</t>
        </is>
      </c>
      <c r="G13" s="303" t="inlineStr">
        <is>
          <t>点</t>
        </is>
      </c>
      <c r="H13" s="72" t="n"/>
      <c r="I13" s="72" t="n"/>
      <c r="J13" s="72" t="n"/>
      <c r="K13" s="304">
        <f>I13*J13*H13</f>
        <v/>
      </c>
      <c r="L13" s="303" t="n"/>
      <c r="M13" s="304">
        <f>K13*L13</f>
        <v/>
      </c>
      <c r="N13" s="305">
        <f>K13+M13</f>
        <v/>
      </c>
      <c r="O13" s="308" t="n"/>
      <c r="P13" s="101" t="n"/>
      <c r="Q13" s="114" t="n"/>
      <c r="R13" s="137" t="n"/>
      <c r="S13" s="111" t="n"/>
      <c r="T13" s="116">
        <f>IF(E13="GPS测量E级",VLOOKUP(F13,{"简单","2821";"中等","3203";"复杂","4123"},2,0))+IF(E13="GPS测量D级",VLOOKUP(F13,{"简单","3198";"中等","3632";"复杂","4671"},2,0))+IF(E13="GPS测量C级",VLOOKUP(F13,{"简单","3727";"中等","4274";"复杂","5500"},2,0))+IF(E13="三角（边）一级",VLOOKUP(F13,{"简单","1096";"中等","1244";"复杂","1602"},2,0))</f>
        <v/>
      </c>
      <c r="U13" s="111" t="n"/>
      <c r="V13" s="116" t="n">
        <v>0.6</v>
      </c>
      <c r="W13" s="111" t="inlineStr">
        <is>
          <t>注意：没有直接写“三角（边）一级不造标0.6”，应作为样表经验规则</t>
        </is>
      </c>
      <c r="X13" s="306" t="n">
        <v>0.22</v>
      </c>
      <c r="Y13" s="111" t="n"/>
      <c r="Z13" s="307">
        <f>H13+AC13-T13</f>
        <v/>
      </c>
      <c r="AA13" s="307">
        <f>J13+AD13-V13</f>
        <v/>
      </c>
      <c r="AB13" s="307">
        <f>L13+AE13-X13</f>
        <v/>
      </c>
      <c r="AC13" s="137" t="n"/>
      <c r="AD13" s="137" t="n"/>
      <c r="AE13" s="137" t="n"/>
      <c r="AF13" s="137" t="n"/>
      <c r="AG13" s="137" t="n"/>
      <c r="AH13" s="137" t="n"/>
      <c r="AI13" s="137" t="n"/>
      <c r="AJ13" s="137" t="n"/>
      <c r="AK13" s="137" t="n"/>
      <c r="AL13" s="137" t="n"/>
      <c r="AM13" s="137" t="n"/>
      <c r="AN13" s="137" t="n"/>
      <c r="AO13" s="137" t="n"/>
      <c r="AP13" s="137" t="n"/>
    </row>
    <row r="14" ht="22.5" customFormat="1" customHeight="1" s="80">
      <c r="A14" s="72" t="n">
        <v>10</v>
      </c>
      <c r="B14" s="308" t="n"/>
      <c r="C14" s="72" t="inlineStr">
        <is>
          <t>公路、铁路RTK</t>
        </is>
      </c>
      <c r="D14" s="72" t="n"/>
      <c r="E14" s="72" t="inlineStr">
        <is>
          <t>GPS测量E级</t>
        </is>
      </c>
      <c r="F14" s="72" t="inlineStr">
        <is>
          <t>复杂</t>
        </is>
      </c>
      <c r="G14" s="303" t="inlineStr">
        <is>
          <t>点</t>
        </is>
      </c>
      <c r="H14" s="72" t="n"/>
      <c r="I14" s="72" t="n"/>
      <c r="J14" s="72" t="n"/>
      <c r="K14" s="304">
        <f>I14*J14*H14</f>
        <v/>
      </c>
      <c r="L14" s="303" t="n"/>
      <c r="M14" s="304">
        <f>K14*L14</f>
        <v/>
      </c>
      <c r="N14" s="305">
        <f>K14+M14</f>
        <v/>
      </c>
      <c r="O14" s="308" t="n"/>
      <c r="P14" s="101" t="n"/>
      <c r="Q14" s="114" t="n"/>
      <c r="R14" s="137" t="n"/>
      <c r="S14" s="111" t="n"/>
      <c r="T14" s="116">
        <f>IF(E14="GPS测量E级",VLOOKUP(F14,{"简单","2821";"中等","3203";"复杂","4123"},2,0))+IF(E14="GPS测量D级",VLOOKUP(F14,{"简单","3198";"中等","3632";"复杂","4671"},2,0))+IF(E14="GPS测量C级",VLOOKUP(F14,{"简单","3727";"中等","4274";"复杂","5500"},2,0))</f>
        <v/>
      </c>
      <c r="U14" s="111" t="n"/>
      <c r="V14" s="116" t="n">
        <v>0.6</v>
      </c>
      <c r="W14" s="111" t="n"/>
      <c r="X14" s="306" t="n">
        <v>0.22</v>
      </c>
      <c r="Y14" s="111" t="n"/>
      <c r="Z14" s="307">
        <f>H14+AC14-T14</f>
        <v/>
      </c>
      <c r="AA14" s="307">
        <f>J14+AD14-V14</f>
        <v/>
      </c>
      <c r="AB14" s="307">
        <f>L14+AE14-X14</f>
        <v/>
      </c>
      <c r="AC14" s="137" t="n"/>
      <c r="AD14" s="137" t="n"/>
      <c r="AE14" s="137" t="n"/>
      <c r="AF14" s="137" t="n"/>
      <c r="AG14" s="137" t="n"/>
      <c r="AH14" s="137" t="n"/>
      <c r="AI14" s="137" t="n"/>
      <c r="AJ14" s="137" t="n"/>
      <c r="AK14" s="137" t="n"/>
      <c r="AL14" s="137" t="n"/>
      <c r="AM14" s="137" t="n"/>
      <c r="AN14" s="137" t="n"/>
      <c r="AO14" s="137" t="n"/>
      <c r="AP14" s="137" t="n"/>
    </row>
    <row r="15" ht="22.5" customFormat="1" customHeight="1" s="80">
      <c r="A15" s="72" t="n">
        <v>11</v>
      </c>
      <c r="B15" s="301" t="n"/>
      <c r="C15" s="72" t="inlineStr">
        <is>
          <t>小型穿越RTK</t>
        </is>
      </c>
      <c r="D15" s="72" t="n"/>
      <c r="E15" s="72" t="inlineStr">
        <is>
          <t>GPS测量E级</t>
        </is>
      </c>
      <c r="F15" s="72" t="inlineStr">
        <is>
          <t>复杂</t>
        </is>
      </c>
      <c r="G15" s="303" t="inlineStr">
        <is>
          <t>点</t>
        </is>
      </c>
      <c r="H15" s="72" t="n"/>
      <c r="I15" s="72" t="n"/>
      <c r="J15" s="72" t="n"/>
      <c r="K15" s="304">
        <f>I15*J15*H15</f>
        <v/>
      </c>
      <c r="L15" s="303" t="n"/>
      <c r="M15" s="304">
        <f>K15*L15</f>
        <v/>
      </c>
      <c r="N15" s="305">
        <f>K15+M15</f>
        <v/>
      </c>
      <c r="O15" s="301" t="n"/>
      <c r="P15" s="101" t="n"/>
      <c r="Q15" s="114" t="n"/>
      <c r="R15" s="137" t="n"/>
      <c r="S15" s="111" t="n"/>
      <c r="T15" s="116">
        <f>IF(E15="GPS测量E级",VLOOKUP(F15,{"简单","2821";"中等","3203";"复杂","4123"},2,0))+IF(E15="GPS测量D级",VLOOKUP(F15,{"简单","3198";"中等","3632";"复杂","4671"},2,0))+IF(E15="GPS测量C级",VLOOKUP(F15,{"简单","3727";"中等","4274";"复杂","5500"},2,0))</f>
        <v/>
      </c>
      <c r="U15" s="111" t="n"/>
      <c r="V15" s="116" t="n">
        <v>0.6</v>
      </c>
      <c r="W15" s="111" t="n"/>
      <c r="X15" s="306" t="n">
        <v>0.22</v>
      </c>
      <c r="Y15" s="111" t="n"/>
      <c r="Z15" s="307">
        <f>H15+AC15-T15</f>
        <v/>
      </c>
      <c r="AA15" s="307">
        <f>J15+AD15-V15</f>
        <v/>
      </c>
      <c r="AB15" s="307">
        <f>L15+AE15-X15</f>
        <v/>
      </c>
      <c r="AC15" s="137" t="n"/>
      <c r="AD15" s="137" t="n"/>
      <c r="AE15" s="137" t="n"/>
      <c r="AF15" s="137" t="n"/>
      <c r="AG15" s="137" t="n"/>
      <c r="AH15" s="137" t="n"/>
      <c r="AI15" s="137" t="n"/>
      <c r="AJ15" s="137" t="n"/>
      <c r="AK15" s="137" t="n"/>
      <c r="AL15" s="137" t="n"/>
      <c r="AM15" s="137" t="n"/>
      <c r="AN15" s="137" t="n"/>
      <c r="AO15" s="137" t="n"/>
      <c r="AP15" s="137" t="n"/>
    </row>
    <row r="16" ht="36" customFormat="1" customHeight="1" s="80">
      <c r="A16" s="72" t="n">
        <v>12</v>
      </c>
      <c r="B16" s="269" t="inlineStr">
        <is>
          <t>线路航测</t>
        </is>
      </c>
      <c r="C16" s="72" t="inlineStr">
        <is>
          <t>数据采集</t>
        </is>
      </c>
      <c r="D16" s="72" t="n"/>
      <c r="E16" s="72" t="n"/>
      <c r="F16" s="141" t="inlineStr">
        <is>
          <t>1:2000</t>
        </is>
      </c>
      <c r="G16" s="303" t="inlineStr">
        <is>
          <t>km</t>
        </is>
      </c>
      <c r="H16" s="72" t="n"/>
      <c r="I16" s="72" t="n"/>
      <c r="J16" s="72" t="n"/>
      <c r="K16" s="304">
        <f>I16*J16*H16</f>
        <v/>
      </c>
      <c r="L16" s="303" t="n"/>
      <c r="M16" s="304" t="inlineStr">
        <is>
          <t>/</t>
        </is>
      </c>
      <c r="N16" s="305">
        <f>K16</f>
        <v/>
      </c>
      <c r="O16" s="267" t="inlineStr">
        <is>
          <t>（09标准）摄影测量与遥感</t>
        </is>
      </c>
      <c r="P16" s="101" t="inlineStr">
        <is>
          <t>行业市场价3500-5500</t>
        </is>
      </c>
      <c r="Q16" s="114" t="n"/>
      <c r="R16" s="137" t="n"/>
      <c r="S16" s="111" t="n"/>
      <c r="T16" s="116" t="n">
        <v>4000</v>
      </c>
      <c r="U16" s="309" t="inlineStr">
        <is>
          <t>《财建〔2009〕17号》测绘生产成本定额。
行业市场价3500-5500</t>
        </is>
      </c>
      <c r="V16" s="116" t="n">
        <v>1</v>
      </c>
      <c r="W16" s="309" t="n"/>
      <c r="X16" s="306" t="n">
        <v>0</v>
      </c>
      <c r="Y16" s="309" t="inlineStr">
        <is>
          <t>【第一层】【系数】元素1为“线路航测”，系数0</t>
        </is>
      </c>
      <c r="Z16" s="307">
        <f>H16+AC16-T16</f>
        <v/>
      </c>
      <c r="AA16" s="307">
        <f>J16+AD16-V16</f>
        <v/>
      </c>
      <c r="AB16" s="307">
        <f>L16+AE16-X16</f>
        <v/>
      </c>
      <c r="AC16" s="137" t="n"/>
      <c r="AD16" s="137" t="n"/>
      <c r="AE16" s="137" t="n"/>
      <c r="AF16" s="137" t="n"/>
      <c r="AG16" s="137" t="n"/>
      <c r="AH16" s="137" t="n"/>
      <c r="AI16" s="137" t="n"/>
      <c r="AJ16" s="137" t="n"/>
      <c r="AK16" s="137" t="n"/>
      <c r="AL16" s="137" t="n"/>
      <c r="AM16" s="137" t="n"/>
      <c r="AN16" s="137" t="n"/>
      <c r="AO16" s="137" t="n"/>
      <c r="AP16" s="137" t="n"/>
    </row>
    <row r="17" ht="48" customFormat="1" customHeight="1" s="80">
      <c r="A17" s="72" t="n">
        <v>13</v>
      </c>
      <c r="B17" s="308" t="n"/>
      <c r="C17" s="72" t="inlineStr">
        <is>
          <t>像控点联测</t>
        </is>
      </c>
      <c r="D17" s="72" t="n"/>
      <c r="E17" s="72" t="inlineStr">
        <is>
          <t>Ⅲ类</t>
        </is>
      </c>
      <c r="F17" s="141" t="inlineStr">
        <is>
          <t>1:2000</t>
        </is>
      </c>
      <c r="G17" s="303" t="inlineStr">
        <is>
          <t>幅</t>
        </is>
      </c>
      <c r="H17" s="72" t="n"/>
      <c r="I17" s="72" t="n"/>
      <c r="J17" s="72" t="n"/>
      <c r="K17" s="304">
        <f>I17*J17*H17</f>
        <v/>
      </c>
      <c r="L17" s="303" t="n"/>
      <c r="M17" s="304" t="inlineStr">
        <is>
          <t>/</t>
        </is>
      </c>
      <c r="N17" s="305">
        <f>K17</f>
        <v/>
      </c>
      <c r="O17" s="308" t="n"/>
      <c r="P17" s="101" t="inlineStr">
        <is>
          <t>航线网布点核减15%</t>
        </is>
      </c>
      <c r="Q17" s="114" t="n"/>
      <c r="R17" s="137" t="n"/>
      <c r="S17" s="111" t="n"/>
      <c r="T17" s="116">
        <f>VLOOKUP(E17,{"Ⅰ类","2720.45";"Ⅱ类","3874.53";"Ⅲ类","4991.14"},2,0)</f>
        <v/>
      </c>
      <c r="U17" s="309" t="inlineStr">
        <is>
          <t>《财建〔2009〕17号》P14-像控点联测</t>
        </is>
      </c>
      <c r="V17" s="116" t="n">
        <v>0.85</v>
      </c>
      <c r="W17" s="309" t="inlineStr">
        <is>
          <t>航线网布点时定额核减15%。
区域网布点时定额核减30%。</t>
        </is>
      </c>
      <c r="X17" s="306" t="n">
        <v>0</v>
      </c>
      <c r="Y17" s="111" t="inlineStr">
        <is>
          <t>这些行在工作簿中没有再次叠加`22%`技术费。</t>
        </is>
      </c>
      <c r="Z17" s="307">
        <f>H17+AC17-T17</f>
        <v/>
      </c>
      <c r="AA17" s="307">
        <f>J17+AD17-V17</f>
        <v/>
      </c>
      <c r="AB17" s="307">
        <f>L17+AE17-X17</f>
        <v/>
      </c>
      <c r="AC17" s="137" t="n"/>
      <c r="AD17" s="137" t="n"/>
      <c r="AE17" s="137" t="n"/>
      <c r="AF17" s="137" t="n"/>
      <c r="AG17" s="137" t="n"/>
      <c r="AH17" s="137" t="n"/>
      <c r="AI17" s="137" t="n"/>
      <c r="AJ17" s="137" t="n"/>
      <c r="AK17" s="137" t="n"/>
      <c r="AL17" s="137" t="n"/>
      <c r="AM17" s="137" t="n"/>
      <c r="AN17" s="137" t="n"/>
      <c r="AO17" s="137" t="n"/>
      <c r="AP17" s="137" t="n"/>
    </row>
    <row r="18" ht="24" customFormat="1" customHeight="1" s="80">
      <c r="A18" s="72" t="n">
        <v>14</v>
      </c>
      <c r="B18" s="308" t="n"/>
      <c r="C18" s="72" t="inlineStr">
        <is>
          <t>地物、地貌调绘</t>
        </is>
      </c>
      <c r="D18" s="72" t="n"/>
      <c r="E18" s="72" t="inlineStr">
        <is>
          <t>Ⅱ类</t>
        </is>
      </c>
      <c r="F18" s="141" t="inlineStr">
        <is>
          <t>1:2000</t>
        </is>
      </c>
      <c r="G18" s="303" t="inlineStr">
        <is>
          <t>幅</t>
        </is>
      </c>
      <c r="H18" s="72" t="n"/>
      <c r="I18" s="72" t="n"/>
      <c r="J18" s="72" t="n"/>
      <c r="K18" s="304">
        <f>I18*J18*H18</f>
        <v/>
      </c>
      <c r="L18" s="303" t="n"/>
      <c r="M18" s="304" t="inlineStr">
        <is>
          <t>/</t>
        </is>
      </c>
      <c r="N18" s="305">
        <f>K18</f>
        <v/>
      </c>
      <c r="O18" s="308" t="n"/>
      <c r="P18" s="101" t="inlineStr">
        <is>
          <t>室内外综合判调，定额核减30%</t>
        </is>
      </c>
      <c r="Q18" s="114" t="n"/>
      <c r="R18" s="137" t="n"/>
      <c r="S18" s="111" t="n"/>
      <c r="T18" s="116">
        <f>VLOOKUP(E18,{"Ⅰ类","2923.06";"Ⅱ类","5546.41";"Ⅲ类","7840.47"},2,0)</f>
        <v/>
      </c>
      <c r="U18" s="309" t="inlineStr">
        <is>
          <t>《财建〔2009〕17号》P15-地物、地貌调绘</t>
        </is>
      </c>
      <c r="V18" s="116" t="n">
        <v>0.7</v>
      </c>
      <c r="W18" s="111" t="inlineStr">
        <is>
          <t>系数0.7综合判调,不宜直接扩大适用</t>
        </is>
      </c>
      <c r="X18" s="306" t="n">
        <v>0</v>
      </c>
      <c r="Y18" s="111" t="n"/>
      <c r="Z18" s="307">
        <f>H18+AC18-T18</f>
        <v/>
      </c>
      <c r="AA18" s="307">
        <f>J18+AD18-V18</f>
        <v/>
      </c>
      <c r="AB18" s="307">
        <f>L18+AE18-X18</f>
        <v/>
      </c>
      <c r="AC18" s="137" t="n"/>
      <c r="AD18" s="137" t="n"/>
      <c r="AE18" s="137" t="n"/>
      <c r="AF18" s="137" t="n"/>
      <c r="AG18" s="137" t="n"/>
      <c r="AH18" s="137" t="n"/>
      <c r="AI18" s="137" t="n"/>
      <c r="AJ18" s="137" t="n"/>
      <c r="AK18" s="137" t="n"/>
      <c r="AL18" s="137" t="n"/>
      <c r="AM18" s="137" t="n"/>
      <c r="AN18" s="137" t="n"/>
      <c r="AO18" s="137" t="n"/>
      <c r="AP18" s="137" t="n"/>
    </row>
    <row r="19" ht="24" customFormat="1" customHeight="1" s="80">
      <c r="A19" s="72" t="n">
        <v>15</v>
      </c>
      <c r="B19" s="308" t="n"/>
      <c r="C19" s="72" t="inlineStr">
        <is>
          <t>DLG</t>
        </is>
      </c>
      <c r="D19" s="72" t="n"/>
      <c r="E19" s="72" t="inlineStr">
        <is>
          <t>Ⅱ类</t>
        </is>
      </c>
      <c r="F19" s="141" t="inlineStr">
        <is>
          <t>1:2000</t>
        </is>
      </c>
      <c r="G19" s="303" t="inlineStr">
        <is>
          <t>幅</t>
        </is>
      </c>
      <c r="H19" s="72" t="n"/>
      <c r="I19" s="72" t="n"/>
      <c r="J19" s="72" t="n"/>
      <c r="K19" s="304">
        <f>I19*J19*H19</f>
        <v/>
      </c>
      <c r="L19" s="303" t="n"/>
      <c r="M19" s="304" t="inlineStr">
        <is>
          <t>/</t>
        </is>
      </c>
      <c r="N19" s="305">
        <f>K19</f>
        <v/>
      </c>
      <c r="O19" s="308" t="n"/>
      <c r="P19" s="101" t="inlineStr">
        <is>
          <t>室内外综合判调，定额增加20%，带宽系数15%</t>
        </is>
      </c>
      <c r="Q19" s="114" t="n"/>
      <c r="R19" s="137" t="n"/>
      <c r="S19" s="111" t="n"/>
      <c r="T19" s="116">
        <f>VLOOKUP(E19,{"Ⅰ类","6487.94";"Ⅱ类","9039.5";"Ⅲ类","12750.88"},2,0)</f>
        <v/>
      </c>
      <c r="U19" s="111" t="n"/>
      <c r="V19" s="116" t="n">
        <v>1.35</v>
      </c>
      <c r="W19" s="111" t="inlineStr">
        <is>
          <t>系数1.2综合判调,不宜直接扩大适用</t>
        </is>
      </c>
      <c r="X19" s="306" t="n">
        <v>0</v>
      </c>
      <c r="Y19" s="309" t="n"/>
      <c r="Z19" s="307">
        <f>H19+AC19-T19</f>
        <v/>
      </c>
      <c r="AA19" s="307">
        <f>J19+AD19-V19</f>
        <v/>
      </c>
      <c r="AB19" s="307">
        <f>L19+AE19-X19</f>
        <v/>
      </c>
      <c r="AC19" s="137" t="n"/>
      <c r="AD19" s="137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  <c r="AM19" s="137" t="n"/>
      <c r="AN19" s="137" t="n"/>
      <c r="AO19" s="137" t="n"/>
      <c r="AP19" s="137" t="n"/>
    </row>
    <row r="20" ht="22.5" customFormat="1" customHeight="1" s="80">
      <c r="A20" s="72" t="n">
        <v>16</v>
      </c>
      <c r="B20" s="308" t="n"/>
      <c r="C20" s="72" t="inlineStr">
        <is>
          <t>DEM</t>
        </is>
      </c>
      <c r="D20" s="72" t="n"/>
      <c r="E20" s="72" t="inlineStr">
        <is>
          <t>Ⅱ类</t>
        </is>
      </c>
      <c r="F20" s="141" t="inlineStr">
        <is>
          <t>1:2000</t>
        </is>
      </c>
      <c r="G20" s="303" t="inlineStr">
        <is>
          <t>幅</t>
        </is>
      </c>
      <c r="H20" s="72" t="n"/>
      <c r="I20" s="72" t="n"/>
      <c r="J20" s="72" t="n"/>
      <c r="K20" s="304">
        <f>I20*J20*H20</f>
        <v/>
      </c>
      <c r="L20" s="303" t="n"/>
      <c r="M20" s="304" t="inlineStr">
        <is>
          <t>/</t>
        </is>
      </c>
      <c r="N20" s="305">
        <f>K20</f>
        <v/>
      </c>
      <c r="O20" s="308" t="n"/>
      <c r="P20" s="101" t="n"/>
      <c r="Q20" s="114" t="n"/>
      <c r="R20" s="137" t="n"/>
      <c r="S20" s="111" t="n"/>
      <c r="T20" s="116">
        <f>VLOOKUP(E20,{"Ⅰ类","1570.81";"Ⅱ类","2290.69";"Ⅲ类","3010.6"},2,0)</f>
        <v/>
      </c>
      <c r="U20" s="111" t="n"/>
      <c r="V20" s="116" t="n">
        <v>1</v>
      </c>
      <c r="W20" s="111" t="n"/>
      <c r="X20" s="306" t="n">
        <v>0</v>
      </c>
      <c r="Y20" s="118" t="n"/>
      <c r="Z20" s="307">
        <f>H20+AC20-T20</f>
        <v/>
      </c>
      <c r="AA20" s="307">
        <f>J20+AD20-V20</f>
        <v/>
      </c>
      <c r="AB20" s="307">
        <f>L20+AE20-X20</f>
        <v/>
      </c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  <c r="AM20" s="137" t="n"/>
      <c r="AN20" s="137" t="n"/>
      <c r="AO20" s="137" t="n"/>
      <c r="AP20" s="137" t="n"/>
    </row>
    <row r="21" ht="22.5" customFormat="1" customHeight="1" s="80">
      <c r="A21" s="72" t="n">
        <v>17</v>
      </c>
      <c r="B21" s="301" t="n"/>
      <c r="C21" s="72" t="inlineStr">
        <is>
          <t>DOM</t>
        </is>
      </c>
      <c r="D21" s="72" t="n"/>
      <c r="E21" s="72" t="inlineStr">
        <is>
          <t>Ⅱ类</t>
        </is>
      </c>
      <c r="F21" s="141" t="inlineStr">
        <is>
          <t>1:2000</t>
        </is>
      </c>
      <c r="G21" s="303" t="inlineStr">
        <is>
          <t>幅</t>
        </is>
      </c>
      <c r="H21" s="72" t="n"/>
      <c r="I21" s="72" t="n"/>
      <c r="J21" s="72" t="n"/>
      <c r="K21" s="304">
        <f>I21*J21*H21</f>
        <v/>
      </c>
      <c r="L21" s="303" t="n"/>
      <c r="M21" s="304" t="inlineStr">
        <is>
          <t>/</t>
        </is>
      </c>
      <c r="N21" s="305">
        <f>K21</f>
        <v/>
      </c>
      <c r="O21" s="301" t="n"/>
      <c r="P21" s="101" t="n"/>
      <c r="Q21" s="114" t="n"/>
      <c r="R21" s="137" t="n"/>
      <c r="S21" s="111" t="n"/>
      <c r="T21" s="116">
        <f>VLOOKUP(E21,{"Ⅰ类","1437.18";"Ⅱ类","1727.65";"Ⅲ类","2018.11"},2,0)</f>
        <v/>
      </c>
      <c r="U21" s="111" t="n"/>
      <c r="V21" s="116" t="n">
        <v>1</v>
      </c>
      <c r="W21" s="111" t="n"/>
      <c r="X21" s="306" t="n">
        <v>0</v>
      </c>
      <c r="Y21" s="111" t="n"/>
      <c r="Z21" s="307">
        <f>H21+AC21-T21</f>
        <v/>
      </c>
      <c r="AA21" s="307">
        <f>J21+AD21-V21</f>
        <v/>
      </c>
      <c r="AB21" s="307">
        <f>L21+AE21-X21</f>
        <v/>
      </c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  <c r="AM21" s="137" t="n"/>
      <c r="AN21" s="137" t="n"/>
      <c r="AO21" s="137" t="n"/>
      <c r="AP21" s="137" t="n"/>
    </row>
    <row r="22" ht="43.05" customFormat="1" customHeight="1" s="80">
      <c r="A22" s="72" t="n">
        <v>18</v>
      </c>
      <c r="B22" s="269" t="inlineStr">
        <is>
          <t>走向图编制</t>
        </is>
      </c>
      <c r="C22" s="72" t="inlineStr">
        <is>
          <t>地图编制</t>
        </is>
      </c>
      <c r="D22" s="72" t="n"/>
      <c r="E22" s="72" t="inlineStr">
        <is>
          <t>Ⅱ类</t>
        </is>
      </c>
      <c r="F22" s="141" t="inlineStr">
        <is>
          <t>1:50000</t>
        </is>
      </c>
      <c r="G22" s="303" t="inlineStr">
        <is>
          <t>幅</t>
        </is>
      </c>
      <c r="H22" s="72" t="n"/>
      <c r="I22" s="72" t="n">
        <v>2</v>
      </c>
      <c r="J22" s="72" t="n"/>
      <c r="K22" s="304">
        <f>I22*J22*H22</f>
        <v/>
      </c>
      <c r="L22" s="303" t="n"/>
      <c r="M22" s="304" t="inlineStr">
        <is>
          <t>/</t>
        </is>
      </c>
      <c r="N22" s="305">
        <f>K22</f>
        <v/>
      </c>
      <c r="O22" s="267" t="inlineStr">
        <is>
          <t>（09标准）地图编制-P19</t>
        </is>
      </c>
      <c r="P22" s="101" t="n"/>
      <c r="Q22" s="114" t="n"/>
      <c r="R22" s="137" t="n"/>
      <c r="S22" s="111" t="n"/>
      <c r="T22" s="116">
        <f>IF(F22="1:50000",VLOOKUP(E22,{"Ⅰ类","3645.35";"Ⅱ类","4983.36";"Ⅲ类","7533.19"},2,0),VLOOKUP(E22,{"Ⅰ类","1991.38";"Ⅱ类","2742.11";"Ⅲ类","3517.45"},2,0))</f>
        <v/>
      </c>
      <c r="U22" s="309" t="inlineStr">
        <is>
          <t>《财建〔2009〕17号》测绘生产成本定额。P19</t>
        </is>
      </c>
      <c r="V22" s="116" t="n">
        <v>1</v>
      </c>
      <c r="W22" s="111" t="n"/>
      <c r="X22" s="306" t="n">
        <v>0</v>
      </c>
      <c r="Y22" s="309" t="inlineStr">
        <is>
          <t>【第一层】【系数】元素1为“走向图编制”，系数0</t>
        </is>
      </c>
      <c r="Z22" s="307">
        <f>H22+AC22-T22</f>
        <v/>
      </c>
      <c r="AA22" s="307">
        <f>J22+AD22-V22</f>
        <v/>
      </c>
      <c r="AB22" s="307">
        <f>L22+AE22-X22</f>
        <v/>
      </c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  <c r="AM22" s="137" t="n"/>
      <c r="AN22" s="137" t="n"/>
      <c r="AO22" s="137" t="n"/>
      <c r="AP22" s="137" t="n"/>
    </row>
    <row r="23" ht="22.5" customFormat="1" customHeight="1" s="80">
      <c r="A23" s="72" t="n">
        <v>19</v>
      </c>
      <c r="B23" s="269" t="inlineStr">
        <is>
          <t>地形图测绘（地形测量）</t>
        </is>
      </c>
      <c r="C23" s="72" t="inlineStr">
        <is>
          <t>山岭隧道（洞身）</t>
        </is>
      </c>
      <c r="D23" s="72" t="n"/>
      <c r="E23" s="72" t="inlineStr">
        <is>
          <t>中等</t>
        </is>
      </c>
      <c r="F23" s="141" t="inlineStr">
        <is>
          <t>1:2000</t>
        </is>
      </c>
      <c r="G23" s="303" t="inlineStr">
        <is>
          <t>km2</t>
        </is>
      </c>
      <c r="H23" s="72" t="n"/>
      <c r="I23" s="310" t="n"/>
      <c r="J23" s="72" t="n"/>
      <c r="K23" s="304">
        <f>I23*J23*H23</f>
        <v/>
      </c>
      <c r="L23" s="303" t="n"/>
      <c r="M23" s="304">
        <f>K23*L23</f>
        <v/>
      </c>
      <c r="N23" s="305">
        <f>K23+M23</f>
        <v/>
      </c>
      <c r="O23" s="267" t="inlineStr">
        <is>
          <t>表2.2-2</t>
        </is>
      </c>
      <c r="P23" s="101" t="inlineStr">
        <is>
          <t>数字化测绘系数1.5、植被覆盖系数1.3</t>
        </is>
      </c>
      <c r="Q23" s="114" t="n"/>
      <c r="R23" s="137" t="n"/>
      <c r="S23" s="111" t="n"/>
      <c r="T23" s="116">
        <f>VLOOKUP(E23,{"简单","6676";"中等","8901";"复杂","14244"},2,0)</f>
        <v/>
      </c>
      <c r="U23" s="113" t="inlineStr">
        <is>
          <t>2002表2.2-2</t>
        </is>
      </c>
      <c r="V23" s="116" t="n">
        <v>1.8</v>
      </c>
      <c r="W23" s="309" t="n"/>
      <c r="X23" s="306" t="n">
        <v>0.22</v>
      </c>
      <c r="Y23" s="111" t="n"/>
      <c r="Z23" s="307">
        <f>H23+AC23-T23</f>
        <v/>
      </c>
      <c r="AA23" s="307">
        <f>J23+AD23-V23</f>
        <v/>
      </c>
      <c r="AB23" s="307">
        <f>L23+AE23-X23</f>
        <v/>
      </c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  <c r="AM23" s="137" t="n"/>
      <c r="AN23" s="137" t="n"/>
      <c r="AO23" s="137" t="n"/>
      <c r="AP23" s="137" t="n"/>
    </row>
    <row r="24" ht="22.8" customFormat="1" customHeight="1" s="80">
      <c r="A24" s="72" t="n">
        <v>20</v>
      </c>
      <c r="B24" s="308" t="n"/>
      <c r="C24" s="72" t="inlineStr">
        <is>
          <t>山岭隧道（洞身）</t>
        </is>
      </c>
      <c r="D24" s="72" t="n"/>
      <c r="E24" s="72" t="inlineStr">
        <is>
          <t>复杂</t>
        </is>
      </c>
      <c r="F24" s="141" t="inlineStr">
        <is>
          <t>1:2000</t>
        </is>
      </c>
      <c r="G24" s="303" t="inlineStr">
        <is>
          <t>km2</t>
        </is>
      </c>
      <c r="H24" s="72" t="n"/>
      <c r="I24" s="72" t="n">
        <v>2.704</v>
      </c>
      <c r="J24" s="72" t="n"/>
      <c r="K24" s="304">
        <f>I24*J24*H24</f>
        <v/>
      </c>
      <c r="L24" s="303" t="n"/>
      <c r="M24" s="304">
        <f>K24*L24</f>
        <v/>
      </c>
      <c r="N24" s="305">
        <f>K24+M24</f>
        <v/>
      </c>
      <c r="O24" s="308" t="n"/>
      <c r="P24" s="101" t="inlineStr">
        <is>
          <t>数字化测绘系数1.5、植被覆盖系数1.3</t>
        </is>
      </c>
      <c r="Q24" s="114" t="n"/>
      <c r="R24" s="137" t="n"/>
      <c r="S24" s="111" t="n"/>
      <c r="T24" s="116">
        <f>VLOOKUP(E24,{"简单","6676";"中等","8901";"复杂","14244"},2,0)</f>
        <v/>
      </c>
      <c r="U24" s="111" t="n"/>
      <c r="V24" s="116" t="n">
        <v>1.8</v>
      </c>
      <c r="W24" s="309" t="inlineStr">
        <is>
          <t>【系数】数字化测绘，系数1.5</t>
        </is>
      </c>
      <c r="X24" s="306" t="n">
        <v>0.22</v>
      </c>
      <c r="Y24" s="111" t="n"/>
      <c r="Z24" s="307">
        <f>H24+AC24-T24</f>
        <v/>
      </c>
      <c r="AA24" s="307">
        <f>J24+AD24-V24</f>
        <v/>
      </c>
      <c r="AB24" s="307">
        <f>L24+AE24-X24</f>
        <v/>
      </c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  <c r="AM24" s="137" t="n"/>
      <c r="AN24" s="137" t="n"/>
      <c r="AO24" s="137" t="n"/>
      <c r="AP24" s="137" t="n"/>
    </row>
    <row r="25" ht="72" customFormat="1" customHeight="1" s="80">
      <c r="A25" s="72" t="n">
        <v>21</v>
      </c>
      <c r="B25" s="308" t="n"/>
      <c r="C25" s="72" t="inlineStr">
        <is>
          <t>山岭隧道（洞口、渣场）</t>
        </is>
      </c>
      <c r="D25" s="72" t="n"/>
      <c r="E25" s="72" t="inlineStr">
        <is>
          <t>中等</t>
        </is>
      </c>
      <c r="F25" s="141" t="inlineStr">
        <is>
          <t>1:500</t>
        </is>
      </c>
      <c r="G25" s="303" t="inlineStr">
        <is>
          <t>km2</t>
        </is>
      </c>
      <c r="H25" s="72" t="n"/>
      <c r="I25" s="72" t="n"/>
      <c r="J25" s="72" t="n"/>
      <c r="K25" s="304">
        <f>I25*J25*H25</f>
        <v/>
      </c>
      <c r="L25" s="303" t="n"/>
      <c r="M25" s="304">
        <f>K25*L25</f>
        <v/>
      </c>
      <c r="N25" s="305">
        <f>K25+M25</f>
        <v/>
      </c>
      <c r="O25" s="308" t="n"/>
      <c r="P25" s="101" t="inlineStr">
        <is>
          <t>数字化测绘系数1.5、植被覆盖系数1.3</t>
        </is>
      </c>
      <c r="Q25" s="114" t="n"/>
      <c r="R25" s="137" t="n"/>
      <c r="S25" s="111" t="n"/>
      <c r="T25" s="116">
        <f>VLOOKUP(E25,{"简单","33383";"中等","44510";"复杂","71216"},2,0)</f>
        <v/>
      </c>
      <c r="U25" s="111" t="n"/>
      <c r="V25" s="116" t="n">
        <v>1.8</v>
      </c>
      <c r="W25" s="309" t="inlineStr">
        <is>
          <t>【系数】植被覆盖，系数1.3
（其实套用的是“覆盖或隐蔽程度&gt;60%，1.2-1.5”）</t>
        </is>
      </c>
      <c r="X25" s="306" t="n">
        <v>0.22</v>
      </c>
      <c r="Y25" s="111" t="n"/>
      <c r="Z25" s="307">
        <f>H25+AC25-T25</f>
        <v/>
      </c>
      <c r="AA25" s="307">
        <f>J25+AD25-V25</f>
        <v/>
      </c>
      <c r="AB25" s="307">
        <f>L25+AE25-X25</f>
        <v/>
      </c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  <c r="AM25" s="137" t="n"/>
      <c r="AN25" s="137" t="n"/>
      <c r="AO25" s="137" t="n"/>
      <c r="AP25" s="137" t="n"/>
    </row>
    <row r="26" ht="22.8" customFormat="1" customHeight="1" s="80">
      <c r="A26" s="72" t="n">
        <v>22</v>
      </c>
      <c r="B26" s="308" t="n"/>
      <c r="C26" s="72" t="inlineStr">
        <is>
          <t>山岭隧道（洞口、渣场）</t>
        </is>
      </c>
      <c r="D26" s="72" t="n"/>
      <c r="E26" s="72" t="inlineStr">
        <is>
          <t>复杂</t>
        </is>
      </c>
      <c r="F26" s="141" t="inlineStr">
        <is>
          <t>1:500</t>
        </is>
      </c>
      <c r="G26" s="303" t="inlineStr">
        <is>
          <t>km2</t>
        </is>
      </c>
      <c r="H26" s="72" t="n"/>
      <c r="I26" s="72" t="n">
        <v>0.4</v>
      </c>
      <c r="J26" s="72" t="n"/>
      <c r="K26" s="304">
        <f>I26*J26*H26</f>
        <v/>
      </c>
      <c r="L26" s="303" t="n"/>
      <c r="M26" s="304">
        <f>K26*L26</f>
        <v/>
      </c>
      <c r="N26" s="305">
        <f>K26+M26</f>
        <v/>
      </c>
      <c r="O26" s="308" t="n"/>
      <c r="P26" s="101" t="inlineStr">
        <is>
          <t>数字化测绘系数1.5、植被覆盖系数1.3</t>
        </is>
      </c>
      <c r="Q26" s="114" t="n"/>
      <c r="R26" s="137" t="n"/>
      <c r="S26" s="111" t="n"/>
      <c r="T26" s="116">
        <f>VLOOKUP(E26,{"简单","33383";"中等","44510";"复杂","71216"},2,0)</f>
        <v/>
      </c>
      <c r="U26" s="118" t="n"/>
      <c r="V26" s="116" t="n">
        <v>1.8</v>
      </c>
      <c r="W26" s="113" t="n"/>
      <c r="X26" s="306" t="n">
        <v>0.22</v>
      </c>
      <c r="Y26" s="113" t="n"/>
      <c r="Z26" s="307">
        <f>H26+AC26-T26</f>
        <v/>
      </c>
      <c r="AA26" s="307">
        <f>J26+AD26-V26</f>
        <v/>
      </c>
      <c r="AB26" s="307">
        <f>L26+AE26-X26</f>
        <v/>
      </c>
      <c r="AC26" s="137" t="n"/>
      <c r="AD26" s="137" t="n"/>
      <c r="AE26" s="137" t="n"/>
      <c r="AF26" s="137" t="n"/>
      <c r="AG26" s="137" t="n"/>
      <c r="AH26" s="137" t="n"/>
      <c r="AI26" s="137" t="n"/>
      <c r="AJ26" s="137" t="n"/>
      <c r="AK26" s="137" t="n"/>
      <c r="AL26" s="137" t="n"/>
      <c r="AM26" s="137" t="n"/>
      <c r="AN26" s="137" t="n"/>
      <c r="AO26" s="137" t="n"/>
      <c r="AP26" s="137" t="n"/>
    </row>
    <row r="27" ht="22.8" customFormat="1" customHeight="1" s="80">
      <c r="A27" s="72" t="n">
        <v>23</v>
      </c>
      <c r="B27" s="308" t="n"/>
      <c r="C27" s="72" t="inlineStr">
        <is>
          <t>河流大中型穿越（陆地）</t>
        </is>
      </c>
      <c r="D27" s="72" t="n"/>
      <c r="E27" s="72" t="inlineStr">
        <is>
          <t>复杂</t>
        </is>
      </c>
      <c r="F27" s="141" t="inlineStr">
        <is>
          <t>1:1000</t>
        </is>
      </c>
      <c r="G27" s="303" t="inlineStr">
        <is>
          <t>km2</t>
        </is>
      </c>
      <c r="H27" s="72" t="n"/>
      <c r="I27" s="72" t="n">
        <v>0.632</v>
      </c>
      <c r="J27" s="72" t="n"/>
      <c r="K27" s="304">
        <f>I27*J27*H27</f>
        <v/>
      </c>
      <c r="L27" s="303" t="n"/>
      <c r="M27" s="304">
        <f>K27*L27</f>
        <v/>
      </c>
      <c r="N27" s="305">
        <f>K27+M27</f>
        <v/>
      </c>
      <c r="O27" s="301" t="n"/>
      <c r="P27" s="101" t="inlineStr">
        <is>
          <t>数字化测绘系数1.5</t>
        </is>
      </c>
      <c r="Q27" s="114" t="n"/>
      <c r="R27" s="137" t="n"/>
      <c r="S27" s="111" t="n"/>
      <c r="T27" s="116">
        <f>VLOOKUP(E27,{"简单","15174";"中等","20232";"复杂","32374"},2,0)</f>
        <v/>
      </c>
      <c r="U27" s="111" t="n"/>
      <c r="V27" s="116" t="n">
        <v>1.5</v>
      </c>
      <c r="W27" s="111" t="n"/>
      <c r="X27" s="306" t="n">
        <v>0.22</v>
      </c>
      <c r="Y27" s="111" t="n"/>
      <c r="Z27" s="307">
        <f>H27+AC27-T27</f>
        <v/>
      </c>
      <c r="AA27" s="307">
        <f>J27+AD27-V27</f>
        <v/>
      </c>
      <c r="AB27" s="307">
        <f>L27+AE27-X27</f>
        <v/>
      </c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  <c r="AM27" s="137" t="n"/>
      <c r="AN27" s="137" t="n"/>
      <c r="AO27" s="137" t="n"/>
      <c r="AP27" s="137" t="n"/>
    </row>
    <row r="28" ht="22.8" customFormat="1" customHeight="1" s="80">
      <c r="A28" s="72" t="n">
        <v>24</v>
      </c>
      <c r="B28" s="308" t="n"/>
      <c r="C28" s="72" t="inlineStr">
        <is>
          <t>河流大中型穿越（水域）</t>
        </is>
      </c>
      <c r="D28" s="72" t="n"/>
      <c r="E28" s="72" t="inlineStr">
        <is>
          <t>复杂</t>
        </is>
      </c>
      <c r="F28" s="141" t="inlineStr">
        <is>
          <t>1:1000</t>
        </is>
      </c>
      <c r="G28" s="303" t="inlineStr">
        <is>
          <t>km2</t>
        </is>
      </c>
      <c r="H28" s="72" t="n"/>
      <c r="I28" s="72" t="n">
        <v>0.28</v>
      </c>
      <c r="J28" s="72" t="n"/>
      <c r="K28" s="304">
        <f>I28*J28*H28</f>
        <v/>
      </c>
      <c r="L28" s="303" t="n"/>
      <c r="M28" s="304">
        <f>K28*L28</f>
        <v/>
      </c>
      <c r="N28" s="305">
        <f>K28+M28</f>
        <v/>
      </c>
      <c r="O28" s="267" t="inlineStr">
        <is>
          <t>表2.3-1</t>
        </is>
      </c>
      <c r="P28" s="101" t="inlineStr">
        <is>
          <t>数字化测绘系数1.5</t>
        </is>
      </c>
      <c r="Q28" s="114" t="n"/>
      <c r="R28" s="137" t="n"/>
      <c r="S28" s="111" t="n"/>
      <c r="T28" s="116">
        <f>VLOOKUP(E28,{"简单","40464";"中等","53817";"复杂","75680"},2,0)</f>
        <v/>
      </c>
      <c r="U28" s="111" t="n"/>
      <c r="V28" s="116" t="n">
        <v>1.5</v>
      </c>
      <c r="W28" s="111" t="n"/>
      <c r="X28" s="306" t="n">
        <v>0.22</v>
      </c>
      <c r="Y28" s="111" t="n"/>
      <c r="Z28" s="307">
        <f>H28+AC28-T28</f>
        <v/>
      </c>
      <c r="AA28" s="307">
        <f>J28+AD28-V28</f>
        <v/>
      </c>
      <c r="AB28" s="307">
        <f>L28+AE28-X28</f>
        <v/>
      </c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  <c r="AM28" s="137" t="n"/>
      <c r="AN28" s="137" t="n"/>
      <c r="AO28" s="137" t="n"/>
      <c r="AP28" s="137" t="n"/>
    </row>
    <row r="29" ht="22.8" customFormat="1" customHeight="1" s="80">
      <c r="A29" s="72" t="n">
        <v>25</v>
      </c>
      <c r="B29" s="308" t="n"/>
      <c r="C29" s="72" t="inlineStr">
        <is>
          <t>连片鱼塘穿越</t>
        </is>
      </c>
      <c r="D29" s="72" t="n"/>
      <c r="E29" s="72" t="inlineStr">
        <is>
          <t>复杂</t>
        </is>
      </c>
      <c r="F29" s="141" t="inlineStr">
        <is>
          <t>1:1000</t>
        </is>
      </c>
      <c r="G29" s="303" t="inlineStr">
        <is>
          <t>km2</t>
        </is>
      </c>
      <c r="H29" s="72" t="n"/>
      <c r="I29" s="72" t="n"/>
      <c r="J29" s="72" t="n"/>
      <c r="K29" s="304">
        <f>I29*J29*H29</f>
        <v/>
      </c>
      <c r="L29" s="303" t="n"/>
      <c r="M29" s="304">
        <f>K29*L29</f>
        <v/>
      </c>
      <c r="N29" s="305">
        <f>K29+M29</f>
        <v/>
      </c>
      <c r="O29" s="267" t="inlineStr">
        <is>
          <t>表2.2-2</t>
        </is>
      </c>
      <c r="P29" s="101" t="inlineStr">
        <is>
          <t>数字化测绘系数1.5</t>
        </is>
      </c>
      <c r="Q29" s="114" t="n"/>
      <c r="R29" s="137" t="n"/>
      <c r="S29" s="111" t="n"/>
      <c r="T29" s="116">
        <f>VLOOKUP(E29,{"简单","15174";"中等","20232";"复杂","32374"},2,0)</f>
        <v/>
      </c>
      <c r="U29" s="111" t="n"/>
      <c r="V29" s="116" t="n">
        <v>1.5</v>
      </c>
      <c r="W29" s="111" t="n"/>
      <c r="X29" s="306" t="n">
        <v>0.22</v>
      </c>
      <c r="Y29" s="111" t="n"/>
      <c r="Z29" s="307">
        <f>H29+AC29-T29</f>
        <v/>
      </c>
      <c r="AA29" s="307">
        <f>J29+AD29-V29</f>
        <v/>
      </c>
      <c r="AB29" s="307">
        <f>L29+AE29-X29</f>
        <v/>
      </c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  <c r="AM29" s="137" t="n"/>
      <c r="AN29" s="137" t="n"/>
      <c r="AO29" s="137" t="n"/>
      <c r="AP29" s="137" t="n"/>
    </row>
    <row r="30" ht="22.8" customFormat="1" customHeight="1" s="80">
      <c r="A30" s="72" t="n">
        <v>26</v>
      </c>
      <c r="B30" s="308" t="n"/>
      <c r="C30" s="268" t="inlineStr">
        <is>
          <t>山体定向钻</t>
        </is>
      </c>
      <c r="D30" s="268" t="n"/>
      <c r="E30" s="268" t="inlineStr">
        <is>
          <t>复杂</t>
        </is>
      </c>
      <c r="F30" s="141" t="inlineStr">
        <is>
          <t>1:1000</t>
        </is>
      </c>
      <c r="G30" s="303" t="inlineStr">
        <is>
          <t>km2</t>
        </is>
      </c>
      <c r="H30" s="72" t="n"/>
      <c r="I30" s="72" t="n"/>
      <c r="J30" s="72" t="n"/>
      <c r="K30" s="304">
        <f>I30*J30*H30</f>
        <v/>
      </c>
      <c r="L30" s="303" t="n"/>
      <c r="M30" s="304">
        <f>K30*L30</f>
        <v/>
      </c>
      <c r="N30" s="305">
        <f>K30+M30</f>
        <v/>
      </c>
      <c r="O30" s="308" t="n"/>
      <c r="P30" s="101" t="inlineStr">
        <is>
          <t>数字化测绘系数1.5、植被覆盖系数1.3</t>
        </is>
      </c>
      <c r="Q30" s="114" t="n"/>
      <c r="R30" s="137" t="n"/>
      <c r="S30" s="111" t="n"/>
      <c r="T30" s="116">
        <f>VLOOKUP(E30,{"简单","15174";"中等","20232";"复杂","32374"},2,0)</f>
        <v/>
      </c>
      <c r="U30" s="111" t="n"/>
      <c r="V30" s="116" t="n">
        <v>1.8</v>
      </c>
      <c r="W30" s="111" t="inlineStr">
        <is>
          <t>【经验数】数字化测绘系数1.5、植被覆盖系数1.3</t>
        </is>
      </c>
      <c r="X30" s="306" t="n">
        <v>0.22</v>
      </c>
      <c r="Y30" s="111" t="n"/>
      <c r="Z30" s="307">
        <f>H30+AC30-T30</f>
        <v/>
      </c>
      <c r="AA30" s="307">
        <f>J30+AD30-V30</f>
        <v/>
      </c>
      <c r="AB30" s="307">
        <f>L30+AE30-X30</f>
        <v/>
      </c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  <c r="AM30" s="137" t="n"/>
      <c r="AN30" s="137" t="n"/>
      <c r="AO30" s="137" t="n"/>
      <c r="AP30" s="137" t="n"/>
    </row>
    <row r="31" ht="22.8" customFormat="1" customHeight="1" s="80">
      <c r="A31" s="72" t="n">
        <v>27</v>
      </c>
      <c r="B31" s="308" t="n"/>
      <c r="C31" s="72" t="inlineStr">
        <is>
          <t>站场（地形图）</t>
        </is>
      </c>
      <c r="D31" s="72" t="n"/>
      <c r="E31" s="72" t="inlineStr">
        <is>
          <t>复杂</t>
        </is>
      </c>
      <c r="F31" s="141" t="inlineStr">
        <is>
          <t>1:500</t>
        </is>
      </c>
      <c r="G31" s="303" t="inlineStr">
        <is>
          <t>km2</t>
        </is>
      </c>
      <c r="H31" s="72" t="n"/>
      <c r="I31" s="72" t="n">
        <v>0.5</v>
      </c>
      <c r="J31" s="72" t="n"/>
      <c r="K31" s="304">
        <f>I31*J31*H31</f>
        <v/>
      </c>
      <c r="L31" s="303" t="n"/>
      <c r="M31" s="304">
        <f>K31*L31</f>
        <v/>
      </c>
      <c r="N31" s="305">
        <f>K31+M31</f>
        <v/>
      </c>
      <c r="O31" s="308" t="n"/>
      <c r="P31" s="101" t="inlineStr">
        <is>
          <t>数字化测绘系数1.5</t>
        </is>
      </c>
      <c r="Q31" s="114" t="n"/>
      <c r="R31" s="137" t="n"/>
      <c r="S31" s="111" t="n"/>
      <c r="T31" s="116">
        <f>VLOOKUP(E31,{"简单","33383";"中等","44510";"复杂","71216"},2,0)</f>
        <v/>
      </c>
      <c r="U31" s="111" t="n"/>
      <c r="V31" s="116" t="n">
        <v>1.5</v>
      </c>
      <c r="W31" s="111" t="n"/>
      <c r="X31" s="306" t="n">
        <v>0.22</v>
      </c>
      <c r="Y31" s="111" t="n"/>
      <c r="Z31" s="307">
        <f>H31+AC31-T31</f>
        <v/>
      </c>
      <c r="AA31" s="307">
        <f>J31+AD31-V31</f>
        <v/>
      </c>
      <c r="AB31" s="307">
        <f>L31+AE31-X31</f>
        <v/>
      </c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  <c r="AM31" s="137" t="n"/>
      <c r="AN31" s="137" t="n"/>
      <c r="AO31" s="137" t="n"/>
      <c r="AP31" s="137" t="n"/>
    </row>
    <row r="32" ht="22.8" customFormat="1" customHeight="1" s="80">
      <c r="A32" s="72" t="n">
        <v>28</v>
      </c>
      <c r="B32" s="308" t="n"/>
      <c r="C32" s="72" t="inlineStr">
        <is>
          <t>站场（地形图）</t>
        </is>
      </c>
      <c r="D32" s="72" t="n"/>
      <c r="E32" s="72" t="inlineStr">
        <is>
          <t>中等</t>
        </is>
      </c>
      <c r="F32" s="141" t="inlineStr">
        <is>
          <t>1:500</t>
        </is>
      </c>
      <c r="G32" s="303" t="inlineStr">
        <is>
          <t>km2</t>
        </is>
      </c>
      <c r="H32" s="72" t="n"/>
      <c r="I32" s="72" t="n"/>
      <c r="J32" s="72" t="n"/>
      <c r="K32" s="304">
        <f>I32*J32*H32</f>
        <v/>
      </c>
      <c r="L32" s="303" t="n"/>
      <c r="M32" s="304">
        <f>K32*L32</f>
        <v/>
      </c>
      <c r="N32" s="305">
        <f>K32+M32</f>
        <v/>
      </c>
      <c r="O32" s="308" t="n"/>
      <c r="P32" s="101" t="inlineStr">
        <is>
          <t>数字化测绘系数1.5</t>
        </is>
      </c>
      <c r="Q32" s="114" t="n"/>
      <c r="R32" s="137" t="n"/>
      <c r="S32" s="111" t="n"/>
      <c r="T32" s="116">
        <f>VLOOKUP(E32,{"简单","33383";"中等","44510";"复杂","71216"},2,0)</f>
        <v/>
      </c>
      <c r="U32" s="111" t="n"/>
      <c r="V32" s="116" t="n">
        <v>1.5</v>
      </c>
      <c r="W32" s="111" t="n"/>
      <c r="X32" s="306" t="n">
        <v>0.22</v>
      </c>
      <c r="Y32" s="111" t="n"/>
      <c r="Z32" s="307">
        <f>H32+AC32-T32</f>
        <v/>
      </c>
      <c r="AA32" s="307">
        <f>J32+AD32-V32</f>
        <v/>
      </c>
      <c r="AB32" s="307">
        <f>L32+AE32-X32</f>
        <v/>
      </c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  <c r="AM32" s="137" t="n"/>
      <c r="AN32" s="137" t="n"/>
      <c r="AO32" s="137" t="n"/>
      <c r="AP32" s="137" t="n"/>
    </row>
    <row r="33" ht="22.8" customFormat="1" customHeight="1" s="80">
      <c r="A33" s="72" t="n">
        <v>29</v>
      </c>
      <c r="B33" s="308" t="n"/>
      <c r="C33" s="72" t="inlineStr">
        <is>
          <t>站场（区位图）</t>
        </is>
      </c>
      <c r="D33" s="72" t="n"/>
      <c r="E33" s="72" t="inlineStr">
        <is>
          <t>复杂</t>
        </is>
      </c>
      <c r="F33" s="141" t="inlineStr">
        <is>
          <t>1:2000</t>
        </is>
      </c>
      <c r="G33" s="303" t="inlineStr">
        <is>
          <t>km2</t>
        </is>
      </c>
      <c r="H33" s="72" t="n"/>
      <c r="I33" s="72" t="n">
        <v>2</v>
      </c>
      <c r="J33" s="72" t="n"/>
      <c r="K33" s="304">
        <f>I33*J33*H33</f>
        <v/>
      </c>
      <c r="L33" s="303" t="n"/>
      <c r="M33" s="304">
        <f>K33*L33</f>
        <v/>
      </c>
      <c r="N33" s="305">
        <f>K33+M33</f>
        <v/>
      </c>
      <c r="O33" s="308" t="n"/>
      <c r="P33" s="101" t="inlineStr">
        <is>
          <t>数字化测绘系数1.5</t>
        </is>
      </c>
      <c r="Q33" s="114" t="n"/>
      <c r="R33" s="137" t="n"/>
      <c r="S33" s="111" t="n"/>
      <c r="T33" s="116">
        <f>VLOOKUP(E33,{"简单","6676";"中等","8901";"复杂","14244"},2,0)</f>
        <v/>
      </c>
      <c r="U33" s="111" t="n"/>
      <c r="V33" s="116" t="n">
        <v>1.5</v>
      </c>
      <c r="W33" s="111" t="n"/>
      <c r="X33" s="306" t="n">
        <v>0.22</v>
      </c>
      <c r="Y33" s="111" t="n"/>
      <c r="Z33" s="307">
        <f>H33+AC33-T33</f>
        <v/>
      </c>
      <c r="AA33" s="307">
        <f>J33+AD33-V33</f>
        <v/>
      </c>
      <c r="AB33" s="307">
        <f>L33+AE33-X33</f>
        <v/>
      </c>
      <c r="AC33" s="137" t="n"/>
      <c r="AD33" s="137" t="n"/>
      <c r="AE33" s="137" t="n"/>
      <c r="AF33" s="137" t="n"/>
      <c r="AG33" s="137" t="n"/>
      <c r="AH33" s="137" t="n"/>
      <c r="AI33" s="137" t="n"/>
      <c r="AJ33" s="137" t="n"/>
      <c r="AK33" s="137" t="n"/>
      <c r="AL33" s="137" t="n"/>
      <c r="AM33" s="137" t="n"/>
      <c r="AN33" s="137" t="n"/>
      <c r="AO33" s="137" t="n"/>
      <c r="AP33" s="137" t="n"/>
    </row>
    <row r="34" ht="22.8" customFormat="1" customHeight="1" s="80">
      <c r="A34" s="72" t="n">
        <v>30</v>
      </c>
      <c r="B34" s="308" t="n"/>
      <c r="C34" s="72" t="inlineStr">
        <is>
          <t>站场（区位图）</t>
        </is>
      </c>
      <c r="D34" s="72" t="n"/>
      <c r="E34" s="72" t="inlineStr">
        <is>
          <t>中等</t>
        </is>
      </c>
      <c r="F34" s="141" t="inlineStr">
        <is>
          <t>1:2000</t>
        </is>
      </c>
      <c r="G34" s="303" t="inlineStr">
        <is>
          <t>km2</t>
        </is>
      </c>
      <c r="H34" s="72" t="n"/>
      <c r="I34" s="72" t="n"/>
      <c r="J34" s="72" t="n"/>
      <c r="K34" s="304">
        <f>I34*J34*H34</f>
        <v/>
      </c>
      <c r="L34" s="303" t="n"/>
      <c r="M34" s="304">
        <f>K34*L34</f>
        <v/>
      </c>
      <c r="N34" s="305">
        <f>K34+M34</f>
        <v/>
      </c>
      <c r="O34" s="308" t="n"/>
      <c r="P34" s="101" t="inlineStr">
        <is>
          <t>数字化测绘系数1.5</t>
        </is>
      </c>
      <c r="Q34" s="114" t="n"/>
      <c r="R34" s="137" t="n"/>
      <c r="S34" s="111" t="n"/>
      <c r="T34" s="116">
        <f>VLOOKUP(E34,{"简单","6676";"中等","8901";"复杂","14244"},2,0)</f>
        <v/>
      </c>
      <c r="U34" s="111" t="n"/>
      <c r="V34" s="116" t="n">
        <v>1.5</v>
      </c>
      <c r="W34" s="111" t="n"/>
      <c r="X34" s="306" t="n">
        <v>0.22</v>
      </c>
      <c r="Y34" s="111" t="n"/>
      <c r="Z34" s="307">
        <f>H34+AC34-T34</f>
        <v/>
      </c>
      <c r="AA34" s="307">
        <f>J34+AD34-V34</f>
        <v/>
      </c>
      <c r="AB34" s="307">
        <f>L34+AE34-X34</f>
        <v/>
      </c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  <c r="AM34" s="137" t="n"/>
      <c r="AN34" s="137" t="n"/>
      <c r="AO34" s="137" t="n"/>
      <c r="AP34" s="137" t="n"/>
    </row>
    <row r="35" ht="22.8" customFormat="1" customHeight="1" s="80">
      <c r="A35" s="72" t="n">
        <v>31</v>
      </c>
      <c r="B35" s="308" t="n"/>
      <c r="C35" s="72" t="inlineStr">
        <is>
          <t>阀室（地形图）</t>
        </is>
      </c>
      <c r="D35" s="72" t="n"/>
      <c r="E35" s="72" t="inlineStr">
        <is>
          <t>复杂</t>
        </is>
      </c>
      <c r="F35" s="141" t="inlineStr">
        <is>
          <t>1:500</t>
        </is>
      </c>
      <c r="G35" s="303" t="inlineStr">
        <is>
          <t>km2</t>
        </is>
      </c>
      <c r="H35" s="72" t="n"/>
      <c r="I35" s="72" t="n">
        <v>0.72</v>
      </c>
      <c r="J35" s="72" t="n"/>
      <c r="K35" s="304">
        <f>I35*J35*H35</f>
        <v/>
      </c>
      <c r="L35" s="303" t="n"/>
      <c r="M35" s="304">
        <f>K35*L35</f>
        <v/>
      </c>
      <c r="N35" s="305">
        <f>K35+M35</f>
        <v/>
      </c>
      <c r="O35" s="308" t="n"/>
      <c r="P35" s="101" t="inlineStr">
        <is>
          <t>数字化测绘系数1.5</t>
        </is>
      </c>
      <c r="Q35" s="114" t="n"/>
      <c r="R35" s="137" t="n"/>
      <c r="S35" s="111" t="n"/>
      <c r="T35" s="116">
        <f>VLOOKUP(E35,{"简单","33383";"中等","44510";"复杂","71216"},2,0)</f>
        <v/>
      </c>
      <c r="U35" s="111" t="n"/>
      <c r="V35" s="116" t="n">
        <v>1.5</v>
      </c>
      <c r="W35" s="111" t="n"/>
      <c r="X35" s="306" t="n">
        <v>0.22</v>
      </c>
      <c r="Y35" s="111" t="n"/>
      <c r="Z35" s="307">
        <f>H35+AC35-T35</f>
        <v/>
      </c>
      <c r="AA35" s="307">
        <f>J35+AD35-V35</f>
        <v/>
      </c>
      <c r="AB35" s="307">
        <f>L35+AE35-X35</f>
        <v/>
      </c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</row>
    <row r="36" ht="22.8" customFormat="1" customHeight="1" s="80">
      <c r="A36" s="72" t="n">
        <v>32</v>
      </c>
      <c r="B36" s="308" t="n"/>
      <c r="C36" s="72" t="inlineStr">
        <is>
          <t>阀室</t>
        </is>
      </c>
      <c r="D36" s="72" t="n"/>
      <c r="E36" s="72" t="inlineStr">
        <is>
          <t>中等</t>
        </is>
      </c>
      <c r="F36" s="141" t="inlineStr">
        <is>
          <t>1:500</t>
        </is>
      </c>
      <c r="G36" s="303" t="inlineStr">
        <is>
          <t>km2</t>
        </is>
      </c>
      <c r="H36" s="72" t="n"/>
      <c r="I36" s="72" t="n"/>
      <c r="J36" s="72" t="n"/>
      <c r="K36" s="304">
        <f>I36*J36*H36</f>
        <v/>
      </c>
      <c r="L36" s="303" t="n"/>
      <c r="M36" s="304">
        <f>K36*L36</f>
        <v/>
      </c>
      <c r="N36" s="305">
        <f>K36+M36</f>
        <v/>
      </c>
      <c r="O36" s="308" t="n"/>
      <c r="P36" s="101" t="inlineStr">
        <is>
          <t>数字化测绘系数1.5</t>
        </is>
      </c>
      <c r="Q36" s="114" t="n"/>
      <c r="R36" s="137" t="n"/>
      <c r="S36" s="111" t="n"/>
      <c r="T36" s="116">
        <f>VLOOKUP(E36,{"简单","33383";"中等","44510";"复杂","71216"},2,0)</f>
        <v/>
      </c>
      <c r="U36" s="111" t="n"/>
      <c r="V36" s="116" t="n">
        <v>1.5</v>
      </c>
      <c r="W36" s="111" t="n"/>
      <c r="X36" s="306" t="n">
        <v>0.22</v>
      </c>
      <c r="Y36" s="111" t="n"/>
      <c r="Z36" s="307">
        <f>H36+AC36-T36</f>
        <v/>
      </c>
      <c r="AA36" s="307">
        <f>J36+AD36-V36</f>
        <v/>
      </c>
      <c r="AB36" s="307">
        <f>L36+AE36-X36</f>
        <v/>
      </c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  <c r="AM36" s="137" t="n"/>
      <c r="AN36" s="137" t="n"/>
      <c r="AO36" s="137" t="n"/>
      <c r="AP36" s="137" t="n"/>
    </row>
    <row r="37" ht="22.8" customFormat="1" customHeight="1" s="80">
      <c r="A37" s="72" t="n">
        <v>33</v>
      </c>
      <c r="B37" s="301" t="n"/>
      <c r="C37" s="72" t="inlineStr">
        <is>
          <t>公路、铁路、小型穿越</t>
        </is>
      </c>
      <c r="D37" s="72" t="n"/>
      <c r="E37" s="72" t="inlineStr">
        <is>
          <t>中等</t>
        </is>
      </c>
      <c r="F37" s="141" t="inlineStr">
        <is>
          <t>1:500</t>
        </is>
      </c>
      <c r="G37" s="303" t="inlineStr">
        <is>
          <t>km2</t>
        </is>
      </c>
      <c r="H37" s="72" t="n"/>
      <c r="I37" s="72" t="n"/>
      <c r="J37" s="72" t="n"/>
      <c r="K37" s="304">
        <f>I37*J37*H37</f>
        <v/>
      </c>
      <c r="L37" s="303" t="n"/>
      <c r="M37" s="304">
        <f>K37*L37</f>
        <v/>
      </c>
      <c r="N37" s="305">
        <f>K37+M37</f>
        <v/>
      </c>
      <c r="O37" s="308" t="n"/>
      <c r="P37" s="101" t="inlineStr">
        <is>
          <t>数字化测绘系数1.5</t>
        </is>
      </c>
      <c r="Q37" s="114" t="n"/>
      <c r="R37" s="137" t="n"/>
      <c r="S37" s="111" t="n"/>
      <c r="T37" s="116">
        <f>VLOOKUP(E37,{"简单","33383";"中等","44510";"复杂","71216"},2,0)</f>
        <v/>
      </c>
      <c r="U37" s="111" t="n"/>
      <c r="V37" s="116" t="n">
        <v>1.5</v>
      </c>
      <c r="W37" s="111" t="n"/>
      <c r="X37" s="306" t="n">
        <v>0.22</v>
      </c>
      <c r="Y37" s="111" t="n"/>
      <c r="Z37" s="307">
        <f>H37+AC37-T37</f>
        <v/>
      </c>
      <c r="AA37" s="307">
        <f>J37+AD37-V37</f>
        <v/>
      </c>
      <c r="AB37" s="307">
        <f>L37+AE37-X37</f>
        <v/>
      </c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  <c r="AM37" s="137" t="n"/>
      <c r="AN37" s="137" t="n"/>
      <c r="AO37" s="137" t="n"/>
      <c r="AP37" s="137" t="n"/>
    </row>
    <row r="38" ht="22.8" customFormat="1" customHeight="1" s="80">
      <c r="A38" s="72" t="n">
        <v>34</v>
      </c>
      <c r="B38" s="269" t="inlineStr">
        <is>
          <t>断面测量</t>
        </is>
      </c>
      <c r="C38" s="72" t="inlineStr">
        <is>
          <t>线路纵断面</t>
        </is>
      </c>
      <c r="D38" s="72" t="n"/>
      <c r="E38" s="72" t="inlineStr">
        <is>
          <t>中等</t>
        </is>
      </c>
      <c r="F38" s="141" t="inlineStr">
        <is>
          <t>1:2000</t>
        </is>
      </c>
      <c r="G38" s="303" t="inlineStr">
        <is>
          <t>km</t>
        </is>
      </c>
      <c r="H38" s="72" t="n"/>
      <c r="I38" s="72" t="n"/>
      <c r="J38" s="72" t="n"/>
      <c r="K38" s="304">
        <f>I38*J38*H38</f>
        <v/>
      </c>
      <c r="L38" s="303" t="n"/>
      <c r="M38" s="304">
        <f>K38*L38</f>
        <v/>
      </c>
      <c r="N38" s="305">
        <f>K38+M38</f>
        <v/>
      </c>
      <c r="O38" s="308" t="n"/>
      <c r="P38" s="101" t="inlineStr">
        <is>
          <t>数字化测绘系数1.5</t>
        </is>
      </c>
      <c r="Q38" s="114" t="n"/>
      <c r="R38" s="137" t="n"/>
      <c r="S38" s="111" t="n"/>
      <c r="T38" s="116">
        <f>VLOOKUP(E38,{"简单","468";"中等","625";"复杂","860"},2,0)</f>
        <v/>
      </c>
      <c r="U38" s="111" t="n"/>
      <c r="V38" s="116" t="n">
        <v>1.5</v>
      </c>
      <c r="W38" s="111" t="n"/>
      <c r="X38" s="306" t="n">
        <v>0.22</v>
      </c>
      <c r="Y38" s="111" t="n"/>
      <c r="Z38" s="307">
        <f>H38+AC38-T38</f>
        <v/>
      </c>
      <c r="AA38" s="307">
        <f>J38+AD38-V38</f>
        <v/>
      </c>
      <c r="AB38" s="307">
        <f>L38+AE38-X38</f>
        <v/>
      </c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  <c r="AM38" s="137" t="n"/>
      <c r="AN38" s="137" t="n"/>
      <c r="AO38" s="137" t="n"/>
      <c r="AP38" s="137" t="n"/>
    </row>
    <row r="39" ht="22.8" customFormat="1" customHeight="1" s="80">
      <c r="A39" s="72" t="n">
        <v>35</v>
      </c>
      <c r="B39" s="308" t="n"/>
      <c r="C39" s="72" t="inlineStr">
        <is>
          <t>山岭隧道（洞身）</t>
        </is>
      </c>
      <c r="D39" s="72" t="n"/>
      <c r="E39" s="72" t="inlineStr">
        <is>
          <t>复杂</t>
        </is>
      </c>
      <c r="F39" s="141" t="inlineStr">
        <is>
          <t>1:2000</t>
        </is>
      </c>
      <c r="G39" s="303" t="inlineStr">
        <is>
          <t>km</t>
        </is>
      </c>
      <c r="H39" s="72" t="n"/>
      <c r="I39" s="72" t="n">
        <v>7.16</v>
      </c>
      <c r="J39" s="72" t="n"/>
      <c r="K39" s="304">
        <f>I39*J39*H39</f>
        <v/>
      </c>
      <c r="L39" s="303" t="n"/>
      <c r="M39" s="304">
        <f>K39*L39</f>
        <v/>
      </c>
      <c r="N39" s="305">
        <f>K39+M39</f>
        <v/>
      </c>
      <c r="O39" s="308" t="n"/>
      <c r="P39" s="101" t="inlineStr">
        <is>
          <t>植被覆盖系数1.3</t>
        </is>
      </c>
      <c r="Q39" s="114" t="n"/>
      <c r="R39" s="137" t="n"/>
      <c r="S39" s="111" t="n"/>
      <c r="T39" s="116">
        <f>VLOOKUP(E39,{"简单","468";"中等","625";"复杂","860"},2,0)</f>
        <v/>
      </c>
      <c r="U39" s="111" t="n"/>
      <c r="V39" s="116" t="n">
        <v>1.3</v>
      </c>
      <c r="W39" s="111" t="n"/>
      <c r="X39" s="306" t="n">
        <v>0.22</v>
      </c>
      <c r="Y39" s="111" t="n"/>
      <c r="Z39" s="307">
        <f>H39+AC39-T39</f>
        <v/>
      </c>
      <c r="AA39" s="307">
        <f>J39+AD39-V39</f>
        <v/>
      </c>
      <c r="AB39" s="307">
        <f>L39+AE39-X39</f>
        <v/>
      </c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  <c r="AM39" s="137" t="n"/>
      <c r="AN39" s="137" t="n"/>
      <c r="AO39" s="137" t="n"/>
      <c r="AP39" s="137" t="n"/>
    </row>
    <row r="40" ht="22.8" customFormat="1" customHeight="1" s="80">
      <c r="A40" s="72" t="n">
        <v>36</v>
      </c>
      <c r="B40" s="308" t="n"/>
      <c r="C40" s="72" t="inlineStr">
        <is>
          <t>山岭隧道（洞口）</t>
        </is>
      </c>
      <c r="D40" s="72" t="n"/>
      <c r="E40" s="72" t="inlineStr">
        <is>
          <t>复杂</t>
        </is>
      </c>
      <c r="F40" s="141" t="inlineStr">
        <is>
          <t>1:500</t>
        </is>
      </c>
      <c r="G40" s="303" t="inlineStr">
        <is>
          <t>km</t>
        </is>
      </c>
      <c r="H40" s="72" t="n"/>
      <c r="I40" s="72" t="n">
        <v>2.8</v>
      </c>
      <c r="J40" s="72" t="n"/>
      <c r="K40" s="304">
        <f>I40*J40*H40</f>
        <v/>
      </c>
      <c r="L40" s="303" t="n"/>
      <c r="M40" s="304">
        <f>K40*L40</f>
        <v/>
      </c>
      <c r="N40" s="305">
        <f>K40+M40</f>
        <v/>
      </c>
      <c r="O40" s="308" t="n"/>
      <c r="P40" s="101" t="inlineStr">
        <is>
          <t>植被覆盖系数1.3</t>
        </is>
      </c>
      <c r="Q40" s="114" t="n"/>
      <c r="R40" s="311" t="n"/>
      <c r="S40" s="111" t="n"/>
      <c r="T40" s="116">
        <f>VLOOKUP(E40,{"简单","785";"中等","1047";"复杂","1440"},2,0)</f>
        <v/>
      </c>
      <c r="U40" s="111" t="n"/>
      <c r="V40" s="116" t="n">
        <v>1.3</v>
      </c>
      <c r="W40" s="111" t="n"/>
      <c r="X40" s="306" t="n">
        <v>0.22</v>
      </c>
      <c r="Y40" s="111" t="n"/>
      <c r="Z40" s="307">
        <f>H40+AC40-T40</f>
        <v/>
      </c>
      <c r="AA40" s="307">
        <f>J40+AD40-V40</f>
        <v/>
      </c>
      <c r="AB40" s="307">
        <f>L40+AE40-X40</f>
        <v/>
      </c>
      <c r="AC40" s="311" t="n"/>
      <c r="AD40" s="137" t="n"/>
      <c r="AE40" s="311" t="n"/>
      <c r="AF40" s="137" t="n"/>
      <c r="AG40" s="137" t="n"/>
      <c r="AH40" s="137" t="n"/>
      <c r="AI40" s="137" t="n"/>
      <c r="AJ40" s="137" t="n"/>
      <c r="AK40" s="137" t="n"/>
      <c r="AL40" s="311" t="n"/>
      <c r="AM40" s="137" t="n"/>
      <c r="AN40" s="311" t="n"/>
      <c r="AO40" s="311" t="n"/>
      <c r="AP40" s="311" t="n"/>
    </row>
    <row r="41" ht="22.8" customFormat="1" customHeight="1" s="80">
      <c r="A41" s="72" t="n">
        <v>37</v>
      </c>
      <c r="B41" s="308" t="n"/>
      <c r="C41" s="72" t="inlineStr">
        <is>
          <t>河流大中型穿越（陆地）</t>
        </is>
      </c>
      <c r="D41" s="72" t="n"/>
      <c r="E41" s="72" t="inlineStr">
        <is>
          <t>中等</t>
        </is>
      </c>
      <c r="F41" s="141" t="inlineStr">
        <is>
          <t>1:1000</t>
        </is>
      </c>
      <c r="G41" s="141" t="inlineStr">
        <is>
          <t>km</t>
        </is>
      </c>
      <c r="H41" s="72" t="n"/>
      <c r="I41" s="72" t="n">
        <v>1.58</v>
      </c>
      <c r="J41" s="72" t="n"/>
      <c r="K41" s="304">
        <f>I41*J41*H41</f>
        <v/>
      </c>
      <c r="L41" s="303" t="n"/>
      <c r="M41" s="304">
        <f>K41*L41</f>
        <v/>
      </c>
      <c r="N41" s="305">
        <f>K41+M41</f>
        <v/>
      </c>
      <c r="O41" s="301" t="n"/>
      <c r="P41" s="101" t="n"/>
      <c r="Q41" s="114" t="n"/>
      <c r="R41" s="137" t="n"/>
      <c r="S41" s="111" t="n"/>
      <c r="T41" s="116">
        <f>VLOOKUP(E41,{"简单","607";"中等","809";"复杂","1113"},2,0)</f>
        <v/>
      </c>
      <c r="U41" s="111" t="n"/>
      <c r="V41" s="116" t="n">
        <v>1</v>
      </c>
      <c r="W41" s="111" t="n"/>
      <c r="X41" s="306" t="n">
        <v>0.22</v>
      </c>
      <c r="Y41" s="111" t="n"/>
      <c r="Z41" s="307">
        <f>H41+AC41-T41</f>
        <v/>
      </c>
      <c r="AA41" s="307">
        <f>J41+AD41-V41</f>
        <v/>
      </c>
      <c r="AB41" s="307">
        <f>L41+AE41-X41</f>
        <v/>
      </c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  <c r="AM41" s="137" t="n"/>
      <c r="AN41" s="137" t="n"/>
      <c r="AO41" s="137" t="n"/>
      <c r="AP41" s="137" t="n"/>
    </row>
    <row r="42" ht="22.8" customFormat="1" customHeight="1" s="80">
      <c r="A42" s="72" t="n">
        <v>38</v>
      </c>
      <c r="B42" s="308" t="n"/>
      <c r="C42" s="72" t="inlineStr">
        <is>
          <t>河流大中型穿越（水域）</t>
        </is>
      </c>
      <c r="D42" s="72" t="n"/>
      <c r="E42" s="72" t="inlineStr">
        <is>
          <t>中等</t>
        </is>
      </c>
      <c r="F42" s="141" t="inlineStr">
        <is>
          <t>1:1000</t>
        </is>
      </c>
      <c r="G42" s="141" t="inlineStr">
        <is>
          <t>km</t>
        </is>
      </c>
      <c r="H42" s="72" t="n"/>
      <c r="I42" s="72" t="n">
        <v>0.7</v>
      </c>
      <c r="J42" s="72" t="n"/>
      <c r="K42" s="304">
        <f>I42*J42*H42</f>
        <v/>
      </c>
      <c r="L42" s="303" t="n"/>
      <c r="M42" s="304">
        <f>K42*L42</f>
        <v/>
      </c>
      <c r="N42" s="305">
        <f>K42+M42</f>
        <v/>
      </c>
      <c r="O42" s="268" t="inlineStr">
        <is>
          <t>表2.3-1</t>
        </is>
      </c>
      <c r="P42" s="101" t="n"/>
      <c r="Q42" s="114" t="n"/>
      <c r="R42" s="137" t="n"/>
      <c r="S42" s="111" t="n"/>
      <c r="T42" s="116">
        <f>VLOOKUP(E42,{"简单","2023";"中等","2698";"复杂","4046"},2,0)</f>
        <v/>
      </c>
      <c r="U42" s="111" t="n"/>
      <c r="V42" s="116" t="n">
        <v>1</v>
      </c>
      <c r="W42" s="111" t="n"/>
      <c r="X42" s="306" t="n">
        <v>0.22</v>
      </c>
      <c r="Y42" s="111" t="n"/>
      <c r="Z42" s="307">
        <f>H42+AC42-T42</f>
        <v/>
      </c>
      <c r="AA42" s="307">
        <f>J42+AD42-V42</f>
        <v/>
      </c>
      <c r="AB42" s="307">
        <f>L42+AE42-X42</f>
        <v/>
      </c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  <c r="AM42" s="137" t="n"/>
      <c r="AN42" s="137" t="n"/>
      <c r="AO42" s="137" t="n"/>
      <c r="AP42" s="137" t="n"/>
    </row>
    <row r="43" ht="22.8" customFormat="1" customHeight="1" s="80">
      <c r="A43" s="72" t="n">
        <v>39</v>
      </c>
      <c r="B43" s="308" t="n"/>
      <c r="C43" s="72" t="inlineStr">
        <is>
          <t>连片鱼塘穿越</t>
        </is>
      </c>
      <c r="D43" s="72" t="n"/>
      <c r="E43" s="72" t="inlineStr">
        <is>
          <t>中等</t>
        </is>
      </c>
      <c r="F43" s="141" t="inlineStr">
        <is>
          <t>1:1000</t>
        </is>
      </c>
      <c r="G43" s="141" t="inlineStr">
        <is>
          <t>km</t>
        </is>
      </c>
      <c r="H43" s="72" t="n"/>
      <c r="I43" s="72" t="n"/>
      <c r="J43" s="72" t="n"/>
      <c r="K43" s="304">
        <f>I43*J43*H43</f>
        <v/>
      </c>
      <c r="L43" s="303" t="n"/>
      <c r="M43" s="304">
        <f>K43*L43</f>
        <v/>
      </c>
      <c r="N43" s="305">
        <f>K43+M43</f>
        <v/>
      </c>
      <c r="O43" s="268" t="inlineStr">
        <is>
          <t>表2.2-2</t>
        </is>
      </c>
      <c r="P43" s="101" t="inlineStr">
        <is>
          <t>数字化测绘系数1.5</t>
        </is>
      </c>
      <c r="Q43" s="114" t="n"/>
      <c r="R43" s="137" t="n"/>
      <c r="S43" s="111" t="n"/>
      <c r="T43" s="116">
        <f>VLOOKUP(E43,{"简单","607";"中等","809";"复杂","1113"},2,0)</f>
        <v/>
      </c>
      <c r="U43" s="111" t="n"/>
      <c r="V43" s="116" t="n">
        <v>1.5</v>
      </c>
      <c r="W43" s="111" t="n"/>
      <c r="X43" s="306" t="n">
        <v>0.22</v>
      </c>
      <c r="Y43" s="111" t="n"/>
      <c r="Z43" s="307">
        <f>H43+AC43-T43</f>
        <v/>
      </c>
      <c r="AA43" s="307">
        <f>J43+AD43-V43</f>
        <v/>
      </c>
      <c r="AB43" s="307">
        <f>L43+AE43-X43</f>
        <v/>
      </c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  <c r="AM43" s="137" t="n"/>
      <c r="AN43" s="137" t="n"/>
      <c r="AO43" s="137" t="n"/>
      <c r="AP43" s="137" t="n"/>
    </row>
    <row r="44" ht="22.8" customFormat="1" customHeight="1" s="80">
      <c r="A44" s="72" t="n">
        <v>40</v>
      </c>
      <c r="B44" s="308" t="n"/>
      <c r="C44" s="268" t="inlineStr">
        <is>
          <t>山体定向钻</t>
        </is>
      </c>
      <c r="D44" s="268" t="n"/>
      <c r="E44" s="268" t="inlineStr">
        <is>
          <t>复杂</t>
        </is>
      </c>
      <c r="F44" s="141" t="inlineStr">
        <is>
          <t>1:1000</t>
        </is>
      </c>
      <c r="G44" s="303" t="inlineStr">
        <is>
          <t>km</t>
        </is>
      </c>
      <c r="H44" s="72" t="n"/>
      <c r="I44" s="72" t="n"/>
      <c r="J44" s="72" t="n"/>
      <c r="K44" s="304">
        <f>I44*J44*H44</f>
        <v/>
      </c>
      <c r="L44" s="303" t="n"/>
      <c r="M44" s="304">
        <f>K44*L44</f>
        <v/>
      </c>
      <c r="N44" s="305">
        <f>K44+M44</f>
        <v/>
      </c>
      <c r="O44" s="308" t="n"/>
      <c r="P44" s="101" t="inlineStr">
        <is>
          <t>数字化测绘系数1.5</t>
        </is>
      </c>
      <c r="Q44" s="114" t="n"/>
      <c r="R44" s="137" t="n"/>
      <c r="S44" s="111" t="n"/>
      <c r="T44" s="116">
        <f>VLOOKUP(E44,{"简单","607";"中等","809";"复杂","1113"},2,0)</f>
        <v/>
      </c>
      <c r="U44" s="111" t="n"/>
      <c r="V44" s="116" t="n">
        <v>1.5</v>
      </c>
      <c r="W44" s="111" t="n"/>
      <c r="X44" s="306" t="n">
        <v>0.22</v>
      </c>
      <c r="Y44" s="111" t="n"/>
      <c r="Z44" s="307">
        <f>H44+AC44-T44</f>
        <v/>
      </c>
      <c r="AA44" s="307">
        <f>J44+AD44-V44</f>
        <v/>
      </c>
      <c r="AB44" s="307">
        <f>L44+AE44-X44</f>
        <v/>
      </c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  <c r="AM44" s="137" t="n"/>
      <c r="AN44" s="137" t="n"/>
      <c r="AO44" s="137" t="n"/>
      <c r="AP44" s="137" t="n"/>
    </row>
    <row r="45" ht="22.8" customFormat="1" customHeight="1" s="80">
      <c r="A45" s="72" t="n">
        <v>41</v>
      </c>
      <c r="B45" s="301" t="n"/>
      <c r="C45" s="72" t="inlineStr">
        <is>
          <t>公路、铁路、小型穿越</t>
        </is>
      </c>
      <c r="D45" s="72" t="n"/>
      <c r="E45" s="72" t="inlineStr">
        <is>
          <t>中等</t>
        </is>
      </c>
      <c r="F45" s="141" t="inlineStr">
        <is>
          <t>1:500</t>
        </is>
      </c>
      <c r="G45" s="303" t="inlineStr">
        <is>
          <t>km</t>
        </is>
      </c>
      <c r="H45" s="72" t="n"/>
      <c r="I45" s="72" t="n"/>
      <c r="J45" s="72" t="n"/>
      <c r="K45" s="304">
        <f>I45*J45*H45</f>
        <v/>
      </c>
      <c r="L45" s="303" t="n"/>
      <c r="M45" s="304">
        <f>K45*L45</f>
        <v/>
      </c>
      <c r="N45" s="305">
        <f>K45+M45</f>
        <v/>
      </c>
      <c r="O45" s="301" t="n"/>
      <c r="P45" s="101" t="inlineStr">
        <is>
          <t>数字化测绘系数1.5</t>
        </is>
      </c>
      <c r="Q45" s="114" t="n"/>
      <c r="R45" s="137" t="n"/>
      <c r="S45" s="111" t="n"/>
      <c r="T45" s="116">
        <f>VLOOKUP(E45,{"简单","785";"中等","1047";"复杂","1440"},2,0)</f>
        <v/>
      </c>
      <c r="U45" s="111" t="n"/>
      <c r="V45" s="116" t="n">
        <v>1.5</v>
      </c>
      <c r="W45" s="111" t="n"/>
      <c r="X45" s="306" t="n">
        <v>0.22</v>
      </c>
      <c r="Y45" s="111" t="n"/>
      <c r="Z45" s="307">
        <f>H45+AC45-T45</f>
        <v/>
      </c>
      <c r="AA45" s="307">
        <f>J45+AD45-V45</f>
        <v/>
      </c>
      <c r="AB45" s="307">
        <f>L45+AE45-X45</f>
        <v/>
      </c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  <c r="AM45" s="137" t="n"/>
      <c r="AN45" s="137" t="n"/>
      <c r="AO45" s="137" t="n"/>
      <c r="AP45" s="137" t="n"/>
    </row>
    <row r="46" ht="22.8" customFormat="1" customHeight="1" s="80">
      <c r="A46" s="72" t="n">
        <v>42</v>
      </c>
      <c r="B46" s="262" t="inlineStr">
        <is>
          <t>地下管线测量</t>
        </is>
      </c>
      <c r="C46" s="142" t="inlineStr">
        <is>
          <t>地下管线测量</t>
        </is>
      </c>
      <c r="D46" s="72" t="n"/>
      <c r="E46" s="72" t="inlineStr">
        <is>
          <t>中等</t>
        </is>
      </c>
      <c r="F46" s="141" t="inlineStr">
        <is>
          <t>/</t>
        </is>
      </c>
      <c r="G46" s="303" t="inlineStr">
        <is>
          <t>km</t>
        </is>
      </c>
      <c r="H46" s="72" t="n"/>
      <c r="I46" s="72" t="n">
        <v>8</v>
      </c>
      <c r="J46" s="268" t="n"/>
      <c r="K46" s="304">
        <f>I46*J46*H46</f>
        <v/>
      </c>
      <c r="L46" s="303" t="n"/>
      <c r="M46" s="304">
        <f>K46*L46</f>
        <v/>
      </c>
      <c r="N46" s="305">
        <f>K46+M46</f>
        <v/>
      </c>
      <c r="O46" s="268" t="inlineStr">
        <is>
          <t>表2.4-1</t>
        </is>
      </c>
      <c r="P46" s="102" t="n"/>
      <c r="Q46" s="115" t="n"/>
      <c r="R46" s="137" t="n"/>
      <c r="S46" s="111" t="n"/>
      <c r="T46" s="116">
        <f>VLOOKUP(E46,{"简单","1416";"中等","1700";"复杂","2337"},2,0)</f>
        <v/>
      </c>
      <c r="U46" s="111" t="n"/>
      <c r="V46" s="118" t="n">
        <v>1</v>
      </c>
      <c r="W46" s="111" t="n"/>
      <c r="X46" s="306" t="n">
        <v>0.22</v>
      </c>
      <c r="Y46" s="111" t="n"/>
      <c r="Z46" s="307">
        <f>H46+AC46-T46</f>
        <v/>
      </c>
      <c r="AA46" s="307">
        <f>J46+AD46-V46</f>
        <v/>
      </c>
      <c r="AB46" s="307">
        <f>L46+AE46-X46</f>
        <v/>
      </c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  <c r="AM46" s="137" t="n"/>
      <c r="AN46" s="137" t="n"/>
      <c r="AO46" s="137" t="n"/>
      <c r="AP46" s="137" t="n"/>
    </row>
    <row r="47" ht="22.8" customFormat="1" customHeight="1" s="80">
      <c r="A47" s="72" t="n">
        <v>43</v>
      </c>
      <c r="B47" s="308" t="n"/>
      <c r="C47" s="142" t="inlineStr">
        <is>
          <t>盲探管线</t>
        </is>
      </c>
      <c r="D47" s="72" t="n"/>
      <c r="E47" s="72" t="inlineStr">
        <is>
          <t>中等</t>
        </is>
      </c>
      <c r="F47" s="141" t="n"/>
      <c r="G47" s="303" t="inlineStr">
        <is>
          <t>m2</t>
        </is>
      </c>
      <c r="H47" s="72" t="n"/>
      <c r="I47" s="72" t="n"/>
      <c r="J47" s="268" t="n"/>
      <c r="K47" s="304">
        <f>I47*J47*H47</f>
        <v/>
      </c>
      <c r="L47" s="303" t="n"/>
      <c r="M47" s="304">
        <f>K47*L47</f>
        <v/>
      </c>
      <c r="N47" s="305">
        <f>K47+M47</f>
        <v/>
      </c>
      <c r="O47" s="268" t="inlineStr">
        <is>
          <t>表7.2-1</t>
        </is>
      </c>
      <c r="P47" s="101" t="inlineStr">
        <is>
          <t>地下管线探测部分，（预估工作量）</t>
        </is>
      </c>
      <c r="Q47" s="114" t="n"/>
      <c r="R47" s="137" t="n"/>
      <c r="S47" s="111" t="n"/>
      <c r="T47" s="116">
        <f>VLOOKUP(E47,{"简单","1";"中等","1.5";"复杂","2"},2,0)</f>
        <v/>
      </c>
      <c r="U47" s="111" t="n"/>
      <c r="V47" s="118" t="n">
        <v>1</v>
      </c>
      <c r="W47" s="111" t="inlineStr">
        <is>
          <t>地下管线探测部分，（预估工作量）</t>
        </is>
      </c>
      <c r="X47" s="306" t="n">
        <v>0.22</v>
      </c>
      <c r="Y47" s="111" t="n"/>
      <c r="Z47" s="307">
        <f>H47+AC47-T47</f>
        <v/>
      </c>
      <c r="AA47" s="307">
        <f>J47+AD47-V47</f>
        <v/>
      </c>
      <c r="AB47" s="307">
        <f>L47+AE47-X47</f>
        <v/>
      </c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</row>
    <row r="48" ht="22.8" customFormat="1" customHeight="1" s="80">
      <c r="A48" s="72" t="n">
        <v>44</v>
      </c>
      <c r="B48" s="301" t="n"/>
      <c r="C48" s="72" t="inlineStr">
        <is>
          <t>金属管线探查</t>
        </is>
      </c>
      <c r="D48" s="72" t="n"/>
      <c r="E48" s="72" t="inlineStr">
        <is>
          <t>中等</t>
        </is>
      </c>
      <c r="F48" s="141" t="inlineStr">
        <is>
          <t>/</t>
        </is>
      </c>
      <c r="G48" s="303" t="inlineStr">
        <is>
          <t>km</t>
        </is>
      </c>
      <c r="H48" s="312" t="n"/>
      <c r="I48" s="72" t="n">
        <v>8</v>
      </c>
      <c r="J48" s="268" t="n"/>
      <c r="K48" s="304">
        <f>I48*J48*H48</f>
        <v/>
      </c>
      <c r="L48" s="303" t="n"/>
      <c r="M48" s="304">
        <f>K48*L48</f>
        <v/>
      </c>
      <c r="N48" s="305">
        <f>K48+M48</f>
        <v/>
      </c>
      <c r="O48" s="268" t="inlineStr">
        <is>
          <t>表7.2-1</t>
        </is>
      </c>
      <c r="P48" s="101" t="n"/>
      <c r="Q48" s="114" t="n"/>
      <c r="R48" s="137" t="n"/>
      <c r="S48" s="111" t="n"/>
      <c r="T48" s="313">
        <f>VLOOKUP(E48,{"简单","2250";"中等","4500";"复杂","7200"},2,0)</f>
        <v/>
      </c>
      <c r="U48" s="111" t="n"/>
      <c r="V48" s="118" t="n">
        <v>1</v>
      </c>
      <c r="W48" s="111" t="n"/>
      <c r="X48" s="306" t="n">
        <v>0.22</v>
      </c>
      <c r="Y48" s="111" t="n"/>
      <c r="Z48" s="307">
        <f>H48+AC48-T48</f>
        <v/>
      </c>
      <c r="AA48" s="307">
        <f>J48+AD48-V48</f>
        <v/>
      </c>
      <c r="AB48" s="307">
        <f>L48+AE48-X48</f>
        <v/>
      </c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</row>
    <row r="49" ht="22.5" customFormat="1" customHeight="1" s="90">
      <c r="A49" s="64" t="inlineStr">
        <is>
          <t>合计</t>
        </is>
      </c>
      <c r="B49" s="263" t="inlineStr">
        <is>
          <t>合计</t>
        </is>
      </c>
      <c r="C49" s="298" t="n"/>
      <c r="D49" s="298" t="n"/>
      <c r="E49" s="298" t="n"/>
      <c r="F49" s="298" t="n"/>
      <c r="G49" s="298" t="n"/>
      <c r="H49" s="298" t="n"/>
      <c r="I49" s="298" t="n"/>
      <c r="J49" s="299" t="n"/>
      <c r="K49" s="314">
        <f>SUM(K5:K48)</f>
        <v/>
      </c>
      <c r="L49" s="315" t="n"/>
      <c r="M49" s="314">
        <f>SUM(M5:M48)</f>
        <v/>
      </c>
      <c r="N49" s="314">
        <f>SUM(N5:N48)</f>
        <v/>
      </c>
      <c r="O49" s="263" t="n"/>
      <c r="P49" s="182" t="n"/>
      <c r="Q49" s="183" t="n"/>
      <c r="R49" s="188" t="n"/>
      <c r="S49" s="185" t="n"/>
      <c r="T49" s="184" t="n"/>
      <c r="U49" s="185" t="n"/>
      <c r="V49" s="185" t="n"/>
      <c r="W49" s="185" t="n"/>
      <c r="X49" s="316" t="n"/>
      <c r="Y49" s="185" t="n"/>
      <c r="Z49" s="317">
        <f>H49+AC49-T49</f>
        <v/>
      </c>
      <c r="AA49" s="317">
        <f>J49+AD49-V49</f>
        <v/>
      </c>
      <c r="AB49" s="317">
        <f>L49+AE49-X49</f>
        <v/>
      </c>
      <c r="AC49" s="188" t="n"/>
      <c r="AD49" s="188" t="n"/>
      <c r="AE49" s="188" t="n"/>
      <c r="AF49" s="188" t="n"/>
      <c r="AG49" s="188" t="n"/>
      <c r="AH49" s="188" t="n"/>
      <c r="AI49" s="188" t="n"/>
      <c r="AJ49" s="188" t="n"/>
      <c r="AK49" s="188" t="n"/>
      <c r="AL49" s="188" t="n"/>
      <c r="AM49" s="188" t="n"/>
      <c r="AN49" s="188" t="n"/>
      <c r="AO49" s="188" t="n"/>
      <c r="AP49" s="188" t="n"/>
    </row>
    <row r="50" ht="22.5" customFormat="1" customHeight="1" s="80">
      <c r="B50" s="90" t="n"/>
      <c r="F50" s="83" t="n"/>
      <c r="I50" s="84" t="n"/>
      <c r="K50" s="318" t="n"/>
      <c r="L50" s="318" t="n"/>
      <c r="M50" s="318" t="n"/>
      <c r="N50" s="318" t="n"/>
      <c r="P50" s="103" t="n"/>
      <c r="Q50" s="103" t="n"/>
      <c r="R50" s="100" t="n"/>
      <c r="S50" s="106" t="n"/>
      <c r="U50" s="106" t="n"/>
      <c r="W50" s="123" t="inlineStr">
        <is>
          <t>【】【问题】怎么判断数字化或者植被覆盖？</t>
        </is>
      </c>
      <c r="X50" s="318" t="n"/>
      <c r="Y50" s="106" t="n"/>
      <c r="Z50" s="319" t="n"/>
      <c r="AA50" s="319" t="n"/>
      <c r="AB50" s="319" t="n"/>
      <c r="AC50" s="100" t="n"/>
      <c r="AD50" s="100" t="n"/>
      <c r="AE50" s="100" t="n"/>
      <c r="AF50" s="100" t="n"/>
      <c r="AG50" s="100" t="n"/>
      <c r="AH50" s="100" t="n"/>
      <c r="AI50" s="100" t="n"/>
      <c r="AJ50" s="100" t="n"/>
      <c r="AK50" s="100" t="n"/>
      <c r="AL50" s="100" t="n"/>
      <c r="AM50" s="100" t="n"/>
      <c r="AN50" s="100" t="n"/>
      <c r="AO50" s="100" t="n"/>
      <c r="AP50" s="100" t="n"/>
    </row>
    <row r="51" ht="22.5" customFormat="1" customHeight="1" s="80">
      <c r="B51" s="90" t="n"/>
      <c r="F51" s="83" t="n"/>
      <c r="I51" s="84" t="n"/>
      <c r="K51" s="318" t="n"/>
      <c r="L51" s="318" t="n"/>
      <c r="M51" s="318" t="n"/>
      <c r="N51" s="318" t="n"/>
      <c r="P51" s="103" t="n"/>
      <c r="Q51" s="103" t="n"/>
      <c r="R51" s="100" t="n"/>
      <c r="S51" s="106" t="n"/>
      <c r="U51" s="106" t="n"/>
      <c r="W51" s="106" t="n"/>
      <c r="X51" s="318" t="n"/>
      <c r="Y51" s="106" t="n"/>
      <c r="Z51" s="319" t="n"/>
      <c r="AA51" s="319" t="n"/>
      <c r="AB51" s="319" t="n"/>
      <c r="AC51" s="100" t="n"/>
      <c r="AD51" s="100" t="n"/>
      <c r="AE51" s="100" t="n"/>
      <c r="AF51" s="100" t="n"/>
      <c r="AG51" s="100" t="n"/>
      <c r="AH51" s="100" t="n"/>
      <c r="AI51" s="100" t="n"/>
      <c r="AJ51" s="100" t="n"/>
      <c r="AK51" s="100" t="n"/>
      <c r="AL51" s="100" t="n"/>
      <c r="AM51" s="100" t="n"/>
      <c r="AN51" s="100" t="n"/>
      <c r="AO51" s="100" t="n"/>
      <c r="AP51" s="100" t="n"/>
    </row>
    <row r="52" ht="22.5" customFormat="1" customHeight="1" s="80">
      <c r="B52" s="90" t="n"/>
      <c r="F52" s="83" t="n"/>
      <c r="H52" s="103" t="n"/>
      <c r="I52" s="84" t="n"/>
      <c r="K52" s="103" t="n"/>
      <c r="L52" s="103" t="n"/>
      <c r="M52" s="103" t="n"/>
      <c r="N52" s="318" t="n"/>
      <c r="P52" s="103" t="n"/>
      <c r="Q52" s="103" t="n"/>
      <c r="S52" s="106" t="n"/>
      <c r="T52" s="104" t="n"/>
      <c r="U52" s="104" t="n"/>
      <c r="V52" s="320" t="inlineStr">
        <is>
          <t>【实物工作费附加调整系数】</t>
        </is>
      </c>
      <c r="W52" s="106" t="n"/>
      <c r="X52" s="320" t="inlineStr">
        <is>
          <t>【技术工作费附加调整系数】</t>
        </is>
      </c>
      <c r="Y52" s="106" t="n"/>
      <c r="Z52" s="319" t="n"/>
      <c r="AA52" s="319" t="n"/>
      <c r="AB52" s="319" t="n"/>
      <c r="AD52" s="100" t="n"/>
      <c r="AE52" s="100" t="n"/>
      <c r="AF52" s="100" t="n"/>
      <c r="AG52" s="100" t="n"/>
      <c r="AH52" s="100" t="n"/>
      <c r="AI52" s="100" t="n"/>
      <c r="AJ52" s="100" t="n"/>
      <c r="AK52" s="100" t="n"/>
      <c r="AM52" s="100" t="n"/>
      <c r="AN52" s="100" t="n"/>
      <c r="AO52" s="100" t="n"/>
      <c r="AP52" s="100" t="n"/>
    </row>
    <row r="53" ht="22.5" customHeight="1" s="297">
      <c r="H53" s="103" t="n"/>
      <c r="K53" s="103" t="n"/>
      <c r="L53" s="103" t="n"/>
      <c r="M53" s="103" t="n"/>
      <c r="N53" s="318" t="n"/>
      <c r="O53" s="80" t="n"/>
      <c r="T53" s="104" t="n"/>
      <c r="U53" s="104" t="n"/>
      <c r="V53" s="320" t="inlineStr">
        <is>
          <t>数字化测绘系数1.5</t>
        </is>
      </c>
      <c r="X53" s="320" t="inlineStr">
        <is>
          <t>线路航测、走向图编制 不加系数</t>
        </is>
      </c>
      <c r="Y53" s="106" t="n"/>
      <c r="Z53" s="319" t="n"/>
      <c r="AA53" s="319" t="n"/>
      <c r="AB53" s="319" t="n"/>
    </row>
    <row r="54" ht="22.5" customHeight="1" s="297">
      <c r="H54" s="103" t="n"/>
      <c r="K54" s="103" t="n"/>
      <c r="L54" s="103" t="n"/>
      <c r="M54" s="103" t="n"/>
      <c r="N54" s="318" t="n"/>
      <c r="O54" s="80" t="n"/>
      <c r="T54" s="104" t="n"/>
      <c r="U54" s="104" t="n"/>
      <c r="V54" s="320" t="inlineStr">
        <is>
          <t>植被覆盖系数0.3</t>
        </is>
      </c>
      <c r="X54" s="320" t="n"/>
      <c r="Y54" s="106" t="n"/>
      <c r="Z54" s="319" t="n"/>
      <c r="AA54" s="319" t="n"/>
      <c r="AB54" s="319" t="n"/>
    </row>
    <row r="55" ht="22.5" customHeight="1" s="297">
      <c r="H55" s="103" t="n"/>
      <c r="K55" s="103" t="n"/>
      <c r="L55" s="103" t="n"/>
      <c r="M55" s="103" t="n"/>
      <c r="N55" s="318" t="n"/>
      <c r="O55" s="80" t="n"/>
      <c r="T55" s="104" t="n"/>
      <c r="U55" s="104" t="n"/>
      <c r="V55" s="320" t="n"/>
      <c r="X55" s="320" t="n"/>
      <c r="Y55" s="106" t="n"/>
      <c r="Z55" s="319" t="n"/>
      <c r="AA55" s="319" t="n"/>
      <c r="AB55" s="319" t="n"/>
    </row>
    <row r="56" ht="22.5" customHeight="1" s="297">
      <c r="H56" s="103" t="n"/>
      <c r="K56" s="103" t="n"/>
      <c r="L56" s="103" t="n"/>
      <c r="M56" s="103" t="n"/>
      <c r="N56" s="318" t="n"/>
      <c r="O56" s="80" t="n"/>
      <c r="T56" s="104" t="n"/>
      <c r="U56" s="104" t="n"/>
      <c r="V56" s="320" t="n"/>
      <c r="X56" s="320" t="n"/>
      <c r="Z56" s="319" t="n"/>
      <c r="AA56" s="319" t="n"/>
      <c r="AB56" s="319" t="n"/>
    </row>
    <row r="57" ht="22.5" customHeight="1" s="297">
      <c r="H57" s="103" t="n"/>
      <c r="K57" s="103" t="n"/>
      <c r="L57" s="103" t="n"/>
      <c r="M57" s="103" t="n"/>
      <c r="N57" s="318" t="n"/>
      <c r="O57" s="80" t="n"/>
      <c r="T57" s="104" t="n"/>
      <c r="U57" s="104" t="n"/>
      <c r="V57" s="320" t="n"/>
      <c r="X57" s="320" t="n"/>
      <c r="Z57" s="319" t="n"/>
      <c r="AA57" s="319" t="n"/>
      <c r="AB57" s="319" t="n"/>
    </row>
    <row r="58" ht="22.5" customHeight="1" s="297">
      <c r="H58" s="103" t="n"/>
      <c r="K58" s="103" t="n"/>
      <c r="L58" s="103" t="n"/>
      <c r="M58" s="103" t="n"/>
      <c r="N58" s="318" t="n"/>
      <c r="O58" s="80" t="n"/>
      <c r="T58" s="104" t="n"/>
      <c r="U58" s="104" t="n"/>
      <c r="V58" s="320" t="n"/>
      <c r="X58" s="320" t="n"/>
      <c r="Z58" s="319" t="n"/>
      <c r="AA58" s="319" t="n"/>
      <c r="AB58" s="319" t="n"/>
    </row>
    <row r="59" ht="22.5" customHeight="1" s="297">
      <c r="H59" s="103" t="n"/>
      <c r="K59" s="103" t="n"/>
      <c r="L59" s="103" t="n"/>
      <c r="M59" s="103" t="n"/>
      <c r="N59" s="318" t="n"/>
      <c r="O59" s="80" t="n"/>
      <c r="T59" s="104" t="n"/>
      <c r="U59" s="104" t="n"/>
      <c r="V59" s="320" t="inlineStr">
        <is>
          <t>默认;1.0</t>
        </is>
      </c>
      <c r="X59" s="320" t="inlineStr">
        <is>
          <t>默认;0.22</t>
        </is>
      </c>
      <c r="Z59" s="319" t="n"/>
      <c r="AA59" s="319" t="n"/>
      <c r="AB59" s="319" t="n"/>
    </row>
    <row r="60" ht="22.5" customHeight="1" s="297">
      <c r="H60" s="103" t="n"/>
      <c r="K60" s="103" t="n"/>
      <c r="L60" s="103" t="n"/>
      <c r="M60" s="103" t="n"/>
      <c r="N60" s="318" t="n"/>
      <c r="O60" s="80" t="n"/>
      <c r="T60" s="80" t="n"/>
      <c r="X60" s="318" t="n"/>
      <c r="Z60" s="319" t="n"/>
      <c r="AA60" s="319" t="n"/>
      <c r="AB60" s="319" t="n"/>
    </row>
    <row r="61" ht="22.5" customHeight="1" s="297">
      <c r="H61" s="80" t="n"/>
      <c r="K61" s="318" t="n"/>
      <c r="L61" s="318" t="n"/>
      <c r="M61" s="318" t="n"/>
      <c r="N61" s="318" t="n"/>
      <c r="O61" s="80" t="n"/>
      <c r="T61" s="80" t="n"/>
      <c r="X61" s="318" t="n"/>
      <c r="Z61" s="319" t="n"/>
      <c r="AA61" s="319" t="n"/>
      <c r="AB61" s="319" t="n"/>
    </row>
    <row r="62" ht="22.5" customHeight="1" s="297">
      <c r="Z62" s="319" t="n"/>
      <c r="AA62" s="319" t="n"/>
      <c r="AB62" s="319" t="n"/>
    </row>
    <row r="63" ht="22.5" customHeight="1" s="297">
      <c r="Z63" s="319" t="n"/>
      <c r="AA63" s="319" t="n"/>
      <c r="AB63" s="319" t="n"/>
    </row>
    <row r="64" ht="22.5" customHeight="1" s="297">
      <c r="Z64" s="319" t="n"/>
      <c r="AA64" s="319" t="n"/>
      <c r="AB64" s="319" t="n"/>
    </row>
    <row r="65" ht="22.5" customHeight="1" s="297">
      <c r="Z65" s="319" t="n"/>
      <c r="AA65" s="319" t="n"/>
      <c r="AB65" s="319" t="n"/>
    </row>
    <row r="66" ht="22.5" customHeight="1" s="297">
      <c r="Z66" s="319" t="n"/>
      <c r="AA66" s="319" t="n"/>
      <c r="AB66" s="319" t="n"/>
    </row>
    <row r="67" ht="22.5" customHeight="1" s="297">
      <c r="Z67" s="319" t="n"/>
      <c r="AA67" s="319" t="n"/>
      <c r="AB67" s="319" t="n"/>
    </row>
    <row r="68" ht="22.5" customHeight="1" s="297">
      <c r="Z68" s="319" t="n"/>
      <c r="AA68" s="319" t="n"/>
      <c r="AB68" s="319" t="n"/>
    </row>
    <row r="69" ht="22.5" customHeight="1" s="297">
      <c r="Z69" s="319" t="n"/>
      <c r="AA69" s="319" t="n"/>
      <c r="AB69" s="319" t="n"/>
    </row>
    <row r="70" ht="22.5" customHeight="1" s="297">
      <c r="Z70" s="319" t="n"/>
      <c r="AA70" s="319" t="n"/>
      <c r="AB70" s="319" t="n"/>
    </row>
    <row r="71" ht="22.5" customHeight="1" s="297">
      <c r="Z71" s="319" t="n"/>
      <c r="AA71" s="319" t="n"/>
      <c r="AB71" s="319" t="n"/>
    </row>
    <row r="72" ht="22.5" customHeight="1" s="297">
      <c r="Z72" s="319" t="n"/>
      <c r="AA72" s="319" t="n"/>
      <c r="AB72" s="319" t="n"/>
    </row>
    <row r="73" ht="22.5" customHeight="1" s="297">
      <c r="Z73" s="319" t="n"/>
      <c r="AA73" s="319" t="n"/>
      <c r="AB73" s="319" t="n"/>
    </row>
    <row r="74" ht="22.5" customHeight="1" s="297">
      <c r="Z74" s="319" t="n"/>
      <c r="AA74" s="319" t="n"/>
      <c r="AB74" s="319" t="n"/>
    </row>
    <row r="75" ht="22.5" customHeight="1" s="297">
      <c r="Z75" s="319" t="n"/>
      <c r="AA75" s="319" t="n"/>
      <c r="AB75" s="319" t="n"/>
    </row>
    <row r="76" ht="22.5" customHeight="1" s="297">
      <c r="Z76" s="319" t="n"/>
      <c r="AA76" s="319" t="n"/>
      <c r="AB76" s="319" t="n"/>
    </row>
    <row r="77" ht="22.5" customHeight="1" s="297">
      <c r="Z77" s="319" t="n"/>
      <c r="AA77" s="319" t="n"/>
      <c r="AB77" s="319" t="n"/>
    </row>
    <row r="78" ht="22.5" customHeight="1" s="297">
      <c r="Z78" s="319" t="n"/>
      <c r="AA78" s="319" t="n"/>
      <c r="AB78" s="319" t="n"/>
    </row>
    <row r="79" ht="22.5" customHeight="1" s="297">
      <c r="Z79" s="319" t="n"/>
      <c r="AA79" s="319" t="n"/>
      <c r="AB79" s="319" t="n"/>
    </row>
    <row r="80" ht="22.5" customHeight="1" s="297">
      <c r="Z80" s="319" t="n"/>
      <c r="AA80" s="319" t="n"/>
      <c r="AB80" s="319" t="n"/>
    </row>
    <row r="81" ht="22.5" customHeight="1" s="297">
      <c r="Z81" s="319" t="n"/>
      <c r="AA81" s="319" t="n"/>
      <c r="AB81" s="319" t="n"/>
    </row>
    <row r="82" ht="22.5" customHeight="1" s="297">
      <c r="Z82" s="319" t="n"/>
      <c r="AA82" s="319" t="n"/>
      <c r="AB82" s="319" t="n"/>
    </row>
    <row r="83" ht="22.5" customHeight="1" s="297">
      <c r="Z83" s="319" t="n"/>
      <c r="AA83" s="319" t="n"/>
      <c r="AB83" s="319" t="n"/>
    </row>
    <row r="84" ht="22.5" customHeight="1" s="297">
      <c r="Z84" s="319" t="n"/>
      <c r="AA84" s="319" t="n"/>
      <c r="AB84" s="319" t="n"/>
    </row>
    <row r="85" ht="22.5" customHeight="1" s="297">
      <c r="Z85" s="319" t="n"/>
      <c r="AA85" s="319" t="n"/>
      <c r="AB85" s="319" t="n"/>
    </row>
    <row r="86" ht="22.5" customHeight="1" s="297">
      <c r="Z86" s="319" t="n"/>
      <c r="AA86" s="319" t="n"/>
      <c r="AB86" s="319" t="n"/>
    </row>
    <row r="87" ht="22.5" customHeight="1" s="297">
      <c r="Z87" s="319" t="n"/>
      <c r="AA87" s="319" t="n"/>
      <c r="AB87" s="319" t="n"/>
    </row>
    <row r="88" ht="22.5" customHeight="1" s="297">
      <c r="Z88" s="319" t="n"/>
      <c r="AA88" s="319" t="n"/>
      <c r="AB88" s="319" t="n"/>
    </row>
    <row r="89" ht="22.5" customHeight="1" s="297">
      <c r="Z89" s="319" t="n"/>
      <c r="AA89" s="319" t="n"/>
      <c r="AB89" s="319" t="n"/>
    </row>
    <row r="90" ht="22.5" customHeight="1" s="297">
      <c r="Z90" s="319" t="n"/>
      <c r="AA90" s="319" t="n"/>
      <c r="AB90" s="319" t="n"/>
    </row>
    <row r="91" ht="22.5" customHeight="1" s="297">
      <c r="Z91" s="319" t="n"/>
      <c r="AA91" s="319" t="n"/>
      <c r="AB91" s="319" t="n"/>
    </row>
    <row r="92" ht="22.5" customHeight="1" s="297">
      <c r="Z92" s="319" t="n"/>
      <c r="AA92" s="319" t="n"/>
      <c r="AB92" s="319" t="n"/>
    </row>
    <row r="93" ht="22.5" customHeight="1" s="297">
      <c r="Z93" s="319" t="n"/>
      <c r="AA93" s="319" t="n"/>
      <c r="AB93" s="319" t="n"/>
    </row>
    <row r="94" ht="22.5" customHeight="1" s="297">
      <c r="Z94" s="319" t="n"/>
      <c r="AA94" s="319" t="n"/>
      <c r="AB94" s="319" t="n"/>
    </row>
    <row r="95" ht="22.5" customHeight="1" s="297">
      <c r="Z95" s="319" t="n"/>
      <c r="AA95" s="319" t="n"/>
      <c r="AB95" s="319" t="n"/>
    </row>
    <row r="96" ht="22.5" customHeight="1" s="297">
      <c r="Z96" s="319" t="n"/>
      <c r="AA96" s="319" t="n"/>
      <c r="AB96" s="319" t="n"/>
    </row>
    <row r="97" ht="22.5" customHeight="1" s="297">
      <c r="Z97" s="319" t="n"/>
      <c r="AA97" s="319" t="n"/>
      <c r="AB97" s="319" t="n"/>
    </row>
    <row r="98" ht="22.5" customHeight="1" s="297">
      <c r="Z98" s="319" t="n"/>
      <c r="AA98" s="319" t="n"/>
      <c r="AB98" s="319" t="n"/>
    </row>
    <row r="99" ht="22.5" customHeight="1" s="297">
      <c r="Z99" s="319" t="n"/>
      <c r="AA99" s="319" t="n"/>
      <c r="AB99" s="319" t="n"/>
    </row>
    <row r="100" ht="22.5" customHeight="1" s="297">
      <c r="Z100" s="319" t="n"/>
      <c r="AA100" s="319" t="n"/>
      <c r="AB100" s="319" t="n"/>
    </row>
    <row r="101" ht="22.5" customHeight="1" s="297">
      <c r="Z101" s="319" t="n"/>
      <c r="AA101" s="319" t="n"/>
      <c r="AB101" s="319" t="n"/>
    </row>
    <row r="102" ht="22.5" customHeight="1" s="297">
      <c r="Z102" s="319" t="n"/>
      <c r="AA102" s="319" t="n"/>
      <c r="AB102" s="319" t="n"/>
    </row>
    <row r="103" ht="22.5" customHeight="1" s="297">
      <c r="Z103" s="319" t="n"/>
      <c r="AA103" s="319" t="n"/>
      <c r="AB103" s="319" t="n"/>
    </row>
    <row r="104" ht="22.5" customHeight="1" s="297">
      <c r="Z104" s="319" t="n"/>
      <c r="AA104" s="319" t="n"/>
      <c r="AB104" s="319" t="n"/>
    </row>
    <row r="105" ht="22.5" customHeight="1" s="297">
      <c r="Z105" s="319" t="n"/>
      <c r="AA105" s="319" t="n"/>
      <c r="AB105" s="319" t="n"/>
    </row>
    <row r="106" ht="22.5" customHeight="1" s="297">
      <c r="Z106" s="319" t="n"/>
      <c r="AA106" s="319" t="n"/>
      <c r="AB106" s="319" t="n"/>
    </row>
    <row r="107" ht="22.5" customHeight="1" s="297">
      <c r="Z107" s="319" t="n"/>
      <c r="AA107" s="319" t="n"/>
      <c r="AB107" s="319" t="n"/>
    </row>
    <row r="108" ht="22.5" customHeight="1" s="297">
      <c r="Z108" s="319" t="n"/>
      <c r="AA108" s="319" t="n"/>
      <c r="AB108" s="319" t="n"/>
    </row>
    <row r="109" ht="22.5" customHeight="1" s="297">
      <c r="Z109" s="319" t="n"/>
      <c r="AA109" s="319" t="n"/>
      <c r="AB109" s="319" t="n"/>
    </row>
    <row r="110" ht="22.5" customHeight="1" s="297">
      <c r="Z110" s="319" t="n"/>
      <c r="AA110" s="319" t="n"/>
      <c r="AB110" s="319" t="n"/>
    </row>
    <row r="111" ht="22.5" customHeight="1" s="297">
      <c r="Z111" s="319" t="n"/>
      <c r="AA111" s="319" t="n"/>
      <c r="AB111" s="319" t="n"/>
    </row>
    <row r="112" ht="22.5" customHeight="1" s="297">
      <c r="Z112" s="319" t="n"/>
      <c r="AA112" s="319" t="n"/>
      <c r="AB112" s="319" t="n"/>
    </row>
    <row r="113" ht="22.5" customHeight="1" s="297">
      <c r="Z113" s="319" t="n"/>
      <c r="AA113" s="319" t="n"/>
      <c r="AB113" s="319" t="n"/>
    </row>
    <row r="114" ht="22.5" customHeight="1" s="297">
      <c r="Z114" s="319" t="n"/>
      <c r="AA114" s="319" t="n"/>
      <c r="AB114" s="319" t="n"/>
    </row>
    <row r="115" ht="22.5" customHeight="1" s="297">
      <c r="Z115" s="319" t="n"/>
      <c r="AA115" s="319" t="n"/>
      <c r="AB115" s="319" t="n"/>
    </row>
    <row r="116" ht="22.5" customHeight="1" s="297">
      <c r="Z116" s="319" t="n"/>
      <c r="AA116" s="319" t="n"/>
      <c r="AB116" s="319" t="n"/>
    </row>
    <row r="117" ht="22.5" customHeight="1" s="297">
      <c r="Z117" s="319" t="n"/>
      <c r="AA117" s="319" t="n"/>
      <c r="AB117" s="319" t="n"/>
    </row>
    <row r="118" ht="22.5" customHeight="1" s="297">
      <c r="Z118" s="319" t="n"/>
      <c r="AA118" s="319" t="n"/>
      <c r="AB118" s="319" t="n"/>
    </row>
    <row r="119" ht="22.5" customHeight="1" s="297">
      <c r="Z119" s="319" t="n"/>
      <c r="AA119" s="319" t="n"/>
      <c r="AB119" s="319" t="n"/>
    </row>
    <row r="120" ht="22.5" customHeight="1" s="297">
      <c r="Z120" s="319" t="n"/>
      <c r="AA120" s="319" t="n"/>
      <c r="AB120" s="319" t="n"/>
    </row>
    <row r="121" ht="22.5" customHeight="1" s="297">
      <c r="Z121" s="319" t="n"/>
      <c r="AA121" s="319" t="n"/>
      <c r="AB121" s="319" t="n"/>
    </row>
    <row r="122" ht="22.5" customHeight="1" s="297">
      <c r="Z122" s="319" t="n"/>
      <c r="AA122" s="319" t="n"/>
      <c r="AB122" s="319" t="n"/>
    </row>
    <row r="123" ht="22.5" customHeight="1" s="297">
      <c r="Z123" s="319" t="n"/>
      <c r="AA123" s="319" t="n"/>
      <c r="AB123" s="319" t="n"/>
    </row>
    <row r="124" ht="22.5" customHeight="1" s="297">
      <c r="Z124" s="319" t="n"/>
      <c r="AA124" s="319" t="n"/>
      <c r="AB124" s="319" t="n"/>
    </row>
    <row r="125" ht="22.5" customHeight="1" s="297">
      <c r="Z125" s="319" t="n"/>
      <c r="AA125" s="319" t="n"/>
      <c r="AB125" s="319" t="n"/>
    </row>
    <row r="126" ht="22.5" customHeight="1" s="297">
      <c r="Z126" s="319" t="n"/>
      <c r="AA126" s="319" t="n"/>
      <c r="AB126" s="319" t="n"/>
    </row>
    <row r="127" ht="22.5" customHeight="1" s="297">
      <c r="Z127" s="319" t="n"/>
      <c r="AA127" s="319" t="n"/>
      <c r="AB127" s="319" t="n"/>
    </row>
    <row r="128" ht="22.5" customHeight="1" s="297">
      <c r="Z128" s="319" t="n"/>
      <c r="AA128" s="319" t="n"/>
      <c r="AB128" s="319" t="n"/>
    </row>
    <row r="129" ht="22.5" customHeight="1" s="297">
      <c r="Z129" s="319" t="n"/>
      <c r="AA129" s="319" t="n"/>
      <c r="AB129" s="319" t="n"/>
    </row>
    <row r="130" ht="22.5" customHeight="1" s="297">
      <c r="Z130" s="319" t="n"/>
      <c r="AA130" s="319" t="n"/>
      <c r="AB130" s="319" t="n"/>
    </row>
    <row r="131" ht="22.5" customHeight="1" s="297">
      <c r="Z131" s="319" t="n"/>
      <c r="AA131" s="319" t="n"/>
      <c r="AB131" s="319" t="n"/>
    </row>
    <row r="132" ht="22.5" customHeight="1" s="297">
      <c r="Z132" s="319" t="n"/>
      <c r="AA132" s="319" t="n"/>
      <c r="AB132" s="319" t="n"/>
    </row>
    <row r="133" ht="22.5" customHeight="1" s="297">
      <c r="Z133" s="319" t="n"/>
      <c r="AA133" s="319" t="n"/>
      <c r="AB133" s="319" t="n"/>
    </row>
    <row r="134" ht="22.5" customHeight="1" s="297">
      <c r="Z134" s="319" t="n"/>
      <c r="AA134" s="319" t="n"/>
      <c r="AB134" s="319" t="n"/>
    </row>
    <row r="135" ht="22.5" customHeight="1" s="297">
      <c r="Z135" s="319" t="n"/>
      <c r="AA135" s="319" t="n"/>
      <c r="AB135" s="319" t="n"/>
    </row>
    <row r="136" ht="22.5" customHeight="1" s="297">
      <c r="Z136" s="319" t="n"/>
      <c r="AA136" s="319" t="n"/>
      <c r="AB136" s="319" t="n"/>
    </row>
    <row r="137" ht="22.5" customHeight="1" s="297">
      <c r="Z137" s="319" t="n"/>
      <c r="AA137" s="319" t="n"/>
      <c r="AB137" s="319" t="n"/>
    </row>
    <row r="138" ht="22.5" customHeight="1" s="297">
      <c r="Z138" s="319" t="n"/>
      <c r="AA138" s="319" t="n"/>
      <c r="AB138" s="319" t="n"/>
    </row>
    <row r="139" ht="22.5" customHeight="1" s="297">
      <c r="Z139" s="319" t="n"/>
      <c r="AA139" s="319" t="n"/>
      <c r="AB139" s="319" t="n"/>
    </row>
    <row r="140" ht="22.5" customHeight="1" s="297">
      <c r="Z140" s="319" t="n"/>
      <c r="AA140" s="319" t="n"/>
      <c r="AB140" s="319" t="n"/>
    </row>
    <row r="141" ht="22.5" customHeight="1" s="297">
      <c r="Z141" s="319" t="n"/>
      <c r="AA141" s="319" t="n"/>
      <c r="AB141" s="319" t="n"/>
    </row>
    <row r="142" ht="22.5" customHeight="1" s="297">
      <c r="Z142" s="319" t="n"/>
      <c r="AA142" s="319" t="n"/>
      <c r="AB142" s="319" t="n"/>
    </row>
    <row r="143" ht="22.5" customHeight="1" s="297">
      <c r="Z143" s="319" t="n"/>
      <c r="AA143" s="319" t="n"/>
      <c r="AB143" s="319" t="n"/>
    </row>
    <row r="144" ht="22.5" customHeight="1" s="297">
      <c r="Z144" s="319" t="n"/>
      <c r="AA144" s="319" t="n"/>
      <c r="AB144" s="319" t="n"/>
    </row>
    <row r="145" ht="22.5" customHeight="1" s="297">
      <c r="Z145" s="319" t="n"/>
      <c r="AA145" s="319" t="n"/>
      <c r="AB145" s="319" t="n"/>
    </row>
    <row r="146" ht="22.5" customHeight="1" s="297">
      <c r="Z146" s="319" t="n"/>
      <c r="AA146" s="319" t="n"/>
      <c r="AB146" s="319" t="n"/>
    </row>
    <row r="147" ht="22.5" customHeight="1" s="297">
      <c r="Z147" s="319" t="n"/>
      <c r="AA147" s="319" t="n"/>
      <c r="AB147" s="319" t="n"/>
    </row>
    <row r="148" ht="22.5" customHeight="1" s="297">
      <c r="Z148" s="319" t="n"/>
      <c r="AA148" s="319" t="n"/>
      <c r="AB148" s="319" t="n"/>
    </row>
    <row r="149" ht="22.5" customHeight="1" s="297">
      <c r="Z149" s="319" t="n"/>
      <c r="AA149" s="319" t="n"/>
      <c r="AB149" s="319" t="n"/>
    </row>
    <row r="150" ht="22.5" customHeight="1" s="297">
      <c r="Z150" s="319" t="n"/>
      <c r="AA150" s="319" t="n"/>
      <c r="AB150" s="319" t="n"/>
    </row>
    <row r="151" ht="22.5" customHeight="1" s="297">
      <c r="Z151" s="319" t="n"/>
      <c r="AA151" s="319" t="n"/>
      <c r="AB151" s="319" t="n"/>
    </row>
    <row r="152" ht="22.5" customHeight="1" s="297">
      <c r="Z152" s="319" t="n"/>
      <c r="AA152" s="319" t="n"/>
      <c r="AB152" s="319" t="n"/>
    </row>
    <row r="153" ht="22.5" customHeight="1" s="297">
      <c r="Z153" s="319" t="n"/>
      <c r="AA153" s="319" t="n"/>
      <c r="AB153" s="319" t="n"/>
    </row>
    <row r="154" ht="22.5" customHeight="1" s="297">
      <c r="Z154" s="319" t="n"/>
      <c r="AA154" s="319" t="n"/>
      <c r="AB154" s="319" t="n"/>
    </row>
    <row r="155" ht="22.5" customHeight="1" s="297">
      <c r="Z155" s="319" t="n"/>
      <c r="AA155" s="319" t="n"/>
      <c r="AB155" s="319" t="n"/>
    </row>
    <row r="156" ht="22.5" customHeight="1" s="297">
      <c r="Z156" s="319" t="n"/>
      <c r="AA156" s="319" t="n"/>
      <c r="AB156" s="319" t="n"/>
    </row>
    <row r="157" ht="22.5" customHeight="1" s="297">
      <c r="Z157" s="319" t="n"/>
      <c r="AA157" s="319" t="n"/>
      <c r="AB157" s="319" t="n"/>
    </row>
    <row r="158" ht="22.5" customHeight="1" s="297">
      <c r="Z158" s="319" t="n"/>
      <c r="AA158" s="319" t="n"/>
      <c r="AB158" s="319" t="n"/>
    </row>
    <row r="159" ht="22.5" customHeight="1" s="297">
      <c r="Z159" s="319" t="n"/>
      <c r="AA159" s="319" t="n"/>
      <c r="AB159" s="319" t="n"/>
    </row>
    <row r="160" ht="22.5" customHeight="1" s="297">
      <c r="Z160" s="319" t="n"/>
      <c r="AA160" s="319" t="n"/>
      <c r="AB160" s="319" t="n"/>
    </row>
    <row r="161" ht="22.5" customHeight="1" s="297">
      <c r="Z161" s="319" t="n"/>
      <c r="AA161" s="319" t="n"/>
      <c r="AB161" s="319" t="n"/>
    </row>
    <row r="162" ht="22.5" customHeight="1" s="297">
      <c r="Z162" s="319" t="n"/>
      <c r="AA162" s="319" t="n"/>
      <c r="AB162" s="319" t="n"/>
    </row>
    <row r="163" ht="22.5" customHeight="1" s="297">
      <c r="Z163" s="319" t="n"/>
      <c r="AA163" s="319" t="n"/>
      <c r="AB163" s="319" t="n"/>
    </row>
    <row r="164" ht="22.5" customHeight="1" s="297">
      <c r="Z164" s="319" t="n"/>
      <c r="AA164" s="319" t="n"/>
      <c r="AB164" s="319" t="n"/>
    </row>
    <row r="165" ht="22.5" customHeight="1" s="297">
      <c r="Z165" s="319" t="n"/>
      <c r="AA165" s="319" t="n"/>
      <c r="AB165" s="319" t="n"/>
    </row>
    <row r="166" ht="22.5" customHeight="1" s="297">
      <c r="Z166" s="319" t="n"/>
      <c r="AA166" s="319" t="n"/>
      <c r="AB166" s="319" t="n"/>
    </row>
    <row r="167" ht="22.5" customHeight="1" s="297">
      <c r="Z167" s="319" t="n"/>
      <c r="AA167" s="319" t="n"/>
      <c r="AB167" s="319" t="n"/>
    </row>
    <row r="168" ht="22.5" customHeight="1" s="297">
      <c r="Z168" s="319" t="n"/>
      <c r="AA168" s="319" t="n"/>
      <c r="AB168" s="319" t="n"/>
    </row>
    <row r="169" ht="22.5" customHeight="1" s="297">
      <c r="Z169" s="319" t="n"/>
      <c r="AA169" s="319" t="n"/>
      <c r="AB169" s="319" t="n"/>
    </row>
    <row r="170" ht="22.5" customHeight="1" s="297">
      <c r="Z170" s="319" t="n"/>
      <c r="AA170" s="319" t="n"/>
      <c r="AB170" s="319" t="n"/>
    </row>
    <row r="171" ht="22.5" customHeight="1" s="297">
      <c r="Z171" s="319" t="n"/>
      <c r="AA171" s="319" t="n"/>
      <c r="AB171" s="319" t="n"/>
    </row>
    <row r="172" ht="22.5" customHeight="1" s="297">
      <c r="Z172" s="319" t="n"/>
      <c r="AA172" s="319" t="n"/>
      <c r="AB172" s="319" t="n"/>
    </row>
    <row r="173" ht="22.5" customHeight="1" s="297">
      <c r="Z173" s="319" t="n"/>
      <c r="AA173" s="319" t="n"/>
      <c r="AB173" s="319" t="n"/>
    </row>
    <row r="174" ht="22.5" customHeight="1" s="297">
      <c r="Z174" s="319" t="n"/>
      <c r="AA174" s="319" t="n"/>
      <c r="AB174" s="319" t="n"/>
    </row>
    <row r="175" ht="22.5" customHeight="1" s="297">
      <c r="Z175" s="319" t="n"/>
      <c r="AA175" s="319" t="n"/>
      <c r="AB175" s="319" t="n"/>
    </row>
    <row r="176" ht="22.5" customHeight="1" s="297">
      <c r="Z176" s="319" t="n"/>
      <c r="AA176" s="319" t="n"/>
      <c r="AB176" s="319" t="n"/>
    </row>
    <row r="177" ht="22.5" customHeight="1" s="297">
      <c r="Z177" s="319" t="n"/>
      <c r="AA177" s="319" t="n"/>
      <c r="AB177" s="319" t="n"/>
    </row>
    <row r="178" ht="22.5" customHeight="1" s="297">
      <c r="Z178" s="319" t="n"/>
      <c r="AA178" s="319" t="n"/>
      <c r="AB178" s="319" t="n"/>
    </row>
    <row r="179" ht="22.5" customHeight="1" s="297">
      <c r="Z179" s="319" t="n"/>
      <c r="AA179" s="319" t="n"/>
      <c r="AB179" s="319" t="n"/>
    </row>
    <row r="180" ht="22.5" customHeight="1" s="297">
      <c r="Z180" s="319" t="n"/>
      <c r="AA180" s="319" t="n"/>
      <c r="AB180" s="319" t="n"/>
    </row>
    <row r="181" ht="22.5" customHeight="1" s="297">
      <c r="Z181" s="319" t="n"/>
      <c r="AA181" s="319" t="n"/>
      <c r="AB181" s="319" t="n"/>
    </row>
    <row r="182" ht="22.5" customHeight="1" s="297">
      <c r="Z182" s="319" t="n"/>
      <c r="AA182" s="319" t="n"/>
      <c r="AB182" s="319" t="n"/>
    </row>
    <row r="183" ht="22.5" customHeight="1" s="297">
      <c r="Z183" s="319" t="n"/>
      <c r="AA183" s="319" t="n"/>
      <c r="AB183" s="319" t="n"/>
    </row>
    <row r="184" ht="22.5" customHeight="1" s="297">
      <c r="Z184" s="319" t="n"/>
      <c r="AA184" s="319" t="n"/>
      <c r="AB184" s="319" t="n"/>
    </row>
    <row r="185" ht="22.5" customHeight="1" s="297">
      <c r="Z185" s="319" t="n"/>
      <c r="AA185" s="319" t="n"/>
      <c r="AB185" s="319" t="n"/>
    </row>
    <row r="186" ht="22.5" customHeight="1" s="297">
      <c r="Z186" s="319" t="n"/>
      <c r="AA186" s="319" t="n"/>
      <c r="AB186" s="319" t="n"/>
    </row>
    <row r="187" ht="22.5" customHeight="1" s="297">
      <c r="Z187" s="319" t="n"/>
      <c r="AA187" s="319" t="n"/>
      <c r="AB187" s="319" t="n"/>
    </row>
    <row r="188" ht="22.5" customHeight="1" s="297">
      <c r="Z188" s="319" t="n"/>
      <c r="AA188" s="319" t="n"/>
      <c r="AB188" s="319" t="n"/>
    </row>
    <row r="189" ht="22.5" customHeight="1" s="297">
      <c r="Z189" s="319" t="n"/>
      <c r="AA189" s="319" t="n"/>
      <c r="AB189" s="319" t="n"/>
    </row>
    <row r="190" ht="22.5" customHeight="1" s="297">
      <c r="Z190" s="319" t="n"/>
      <c r="AA190" s="319" t="n"/>
      <c r="AB190" s="319" t="n"/>
    </row>
    <row r="191" ht="22.5" customHeight="1" s="297">
      <c r="Z191" s="319" t="n"/>
      <c r="AA191" s="319" t="n"/>
      <c r="AB191" s="319" t="n"/>
    </row>
    <row r="192" ht="22.5" customHeight="1" s="297">
      <c r="Z192" s="319" t="n"/>
      <c r="AA192" s="319" t="n"/>
      <c r="AB192" s="319" t="n"/>
    </row>
    <row r="193" ht="22.5" customHeight="1" s="297">
      <c r="Z193" s="319" t="n"/>
      <c r="AA193" s="319" t="n"/>
      <c r="AB193" s="319" t="n"/>
    </row>
    <row r="194" ht="22.5" customHeight="1" s="297">
      <c r="Z194" s="319" t="n"/>
      <c r="AA194" s="319" t="n"/>
      <c r="AB194" s="319" t="n"/>
    </row>
    <row r="195" ht="22.5" customHeight="1" s="297">
      <c r="Z195" s="319" t="n"/>
      <c r="AA195" s="319" t="n"/>
      <c r="AB195" s="319" t="n"/>
    </row>
    <row r="196" ht="22.5" customHeight="1" s="297">
      <c r="Z196" s="319" t="n"/>
      <c r="AA196" s="319" t="n"/>
      <c r="AB196" s="319" t="n"/>
    </row>
    <row r="197" ht="22.5" customHeight="1" s="297">
      <c r="Z197" s="319" t="n"/>
      <c r="AA197" s="319" t="n"/>
      <c r="AB197" s="319" t="n"/>
    </row>
    <row r="198" ht="22.5" customHeight="1" s="297">
      <c r="Z198" s="319" t="n"/>
      <c r="AA198" s="319" t="n"/>
      <c r="AB198" s="319" t="n"/>
    </row>
    <row r="199" ht="22.5" customHeight="1" s="297">
      <c r="Z199" s="319" t="n"/>
      <c r="AA199" s="319" t="n"/>
      <c r="AB199" s="319" t="n"/>
    </row>
    <row r="200" ht="22.5" customHeight="1" s="297">
      <c r="Z200" s="319" t="n"/>
      <c r="AA200" s="319" t="n"/>
      <c r="AB200" s="319" t="n"/>
    </row>
    <row r="201" ht="22.5" customHeight="1" s="297">
      <c r="Z201" s="319" t="n"/>
      <c r="AA201" s="319" t="n"/>
      <c r="AB201" s="319" t="n"/>
    </row>
    <row r="202" ht="22.5" customHeight="1" s="297">
      <c r="Z202" s="319" t="n"/>
      <c r="AA202" s="319" t="n"/>
      <c r="AB202" s="319" t="n"/>
    </row>
    <row r="203" ht="22.5" customHeight="1" s="297">
      <c r="Z203" s="319" t="n"/>
      <c r="AA203" s="319" t="n"/>
      <c r="AB203" s="319" t="n"/>
    </row>
    <row r="204" ht="22.5" customHeight="1" s="297">
      <c r="Z204" s="319" t="n"/>
      <c r="AA204" s="319" t="n"/>
      <c r="AB204" s="319" t="n"/>
    </row>
    <row r="205" ht="22.5" customHeight="1" s="297">
      <c r="Z205" s="319" t="n"/>
      <c r="AA205" s="319" t="n"/>
      <c r="AB205" s="319" t="n"/>
    </row>
    <row r="206" ht="22.5" customHeight="1" s="297">
      <c r="Z206" s="319" t="n"/>
      <c r="AA206" s="319" t="n"/>
      <c r="AB206" s="319" t="n"/>
    </row>
    <row r="207" ht="22.5" customHeight="1" s="297">
      <c r="Z207" s="319" t="n"/>
      <c r="AA207" s="319" t="n"/>
      <c r="AB207" s="319" t="n"/>
    </row>
    <row r="208" ht="22.5" customHeight="1" s="297">
      <c r="Z208" s="319" t="n"/>
      <c r="AA208" s="319" t="n"/>
      <c r="AB208" s="319" t="n"/>
    </row>
    <row r="209" ht="22.5" customHeight="1" s="297">
      <c r="Z209" s="96" t="n"/>
      <c r="AA209" s="96" t="n"/>
      <c r="AB209" s="96" t="n"/>
    </row>
    <row r="210" ht="22.5" customHeight="1" s="297">
      <c r="Z210" s="96" t="n"/>
      <c r="AA210" s="96" t="n"/>
      <c r="AB210" s="96" t="n"/>
    </row>
  </sheetData>
  <autoFilter ref="A3:AP50"/>
  <mergeCells count="18">
    <mergeCell ref="L2:M2"/>
    <mergeCell ref="B2:G2"/>
    <mergeCell ref="O43:O45"/>
    <mergeCell ref="B23:B37"/>
    <mergeCell ref="O16:O21"/>
    <mergeCell ref="H2:K2"/>
    <mergeCell ref="B16:B21"/>
    <mergeCell ref="O29:O41"/>
    <mergeCell ref="O2:O3"/>
    <mergeCell ref="O5:O15"/>
    <mergeCell ref="B38:B45"/>
    <mergeCell ref="A2:A3"/>
    <mergeCell ref="N2:N3"/>
    <mergeCell ref="O23:O27"/>
    <mergeCell ref="B46:B48"/>
    <mergeCell ref="B49:J49"/>
    <mergeCell ref="P2:P3"/>
    <mergeCell ref="B5:B15"/>
  </mergeCells>
  <conditionalFormatting sqref="Z1:AB1048576">
    <cfRule type="cellIs" priority="1" operator="equal" dxfId="0">
      <formula>0</formula>
    </cfRule>
  </conditionalFormatting>
  <dataValidations count="5">
    <dataValidation sqref="D11:E11" showDropDown="0" showInputMessage="1" showErrorMessage="1" allowBlank="1" type="list">
      <formula1>"GPS测量C级,GPS测量D级,GPS测量E级,三角（边）"</formula1>
    </dataValidation>
    <dataValidation sqref="F22" showDropDown="0" showInputMessage="1" showErrorMessage="1" allowBlank="1" type="list">
      <formula1>"1:10000,1:50000"</formula1>
    </dataValidation>
    <dataValidation sqref="D48:E48" showDropDown="0" showInputMessage="1" showErrorMessage="1" allowBlank="1" type="list">
      <formula1>"简单,中等,复杂"</formula1>
    </dataValidation>
    <dataValidation sqref="D5:E10 D12:E15" showDropDown="0" showInputMessage="1" showErrorMessage="1" allowBlank="1" type="list">
      <formula1>"GPS测量C级,GPS测量D级,GPS测量E级,三角（边）一级"</formula1>
    </dataValidation>
    <dataValidation sqref="D17:E47 F5:F15" showDropDown="0" showInputMessage="1" showErrorMessage="1" allowBlank="1" type="list">
      <formula1>"Ⅰ类,Ⅱ类,Ⅲ类,简单,中等,复杂"</formula1>
    </dataValidation>
  </dataValidations>
  <printOptions horizontalCentered="1"/>
  <pageMargins left="0.786805555555556" right="0.590277777777778" top="0.786805555555556" bottom="0.590277777777778" header="0.5" footer="0.196527777777778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2020-03-06T04:10:00Z</dcterms:created>
  <dcterms:modified xmlns:dcterms="http://purl.org/dc/terms/" xmlns:xsi="http://www.w3.org/2001/XMLSchema-instance" xsi:type="dcterms:W3CDTF">2026-10-30T16:10:58Z</dcterms:modified>
  <cp:lastModifiedBy>萌 石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2052-12.8.2.19313</vt:lpwstr>
  </property>
  <property name="ICV" fmtid="{D5CDD505-2E9C-101B-9397-08002B2CF9AE}" pid="3">
    <vt:lpwstr xmlns:vt="http://schemas.openxmlformats.org/officeDocument/2006/docPropsVTypes">D90FEBA6341958DA7696466841050968_43</vt:lpwstr>
  </property>
</Properties>
</file>